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940" yWindow="150" windowWidth="13860" windowHeight="1533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<sst xmlns="http://schemas.openxmlformats.org/spreadsheetml/2006/main" count="51" uniqueCount="21">
  <si>
    <t>ข้อมูลการต่อใบอนุญาตกิจการที่เป็นอันตรายต่อสุขภาพ ประจำปี 2569 ( 1 ต.ค. 68 - 30 ก.ย. 69 )</t>
  </si>
  <si>
    <t>กิจการ</t>
  </si>
  <si>
    <t>จำนวนกิจการที่เป็นอันตรายต่อสุขภาพ</t>
  </si>
  <si>
    <t>รายเก่า</t>
  </si>
  <si>
    <t>ยกเลิก</t>
  </si>
  <si>
    <t>รายต่อ</t>
  </si>
  <si>
    <t>รายใหม่</t>
  </si>
  <si>
    <t>1.กิจการที่เกี่ยวกับสัตว์เลี้ยง</t>
  </si>
  <si>
    <t>(๑) การเพาะพันธุ์ เลี้ยง และการอนุบาลสัตว์ทุกชนิด</t>
  </si>
  <si>
    <t>สุกร</t>
  </si>
  <si>
    <t>สัตว์ปีก</t>
  </si>
  <si>
    <t>โค/กระบือ</t>
  </si>
  <si>
    <t>สัตว์น้ำ</t>
  </si>
  <si>
    <t>อื่นๆ</t>
  </si>
  <si>
    <t>2.การประกอบกิจการเลี้ยง รวบรวมสัตว์ หรือธุรกิจอื่นใดอันมีลักษณะทำนองเดียวกัน เพื่อให้ประชาชนเข้าชม                          หรือเพื่อประโยชน์ของกิจการนั้น ทั้งนี้ จะมีการเรียกเก็บค่าดูหรือค่าบริการ ไม่ว่าทางตรงหรือทางอ้อมหรือไม่ก็ตาม</t>
  </si>
  <si>
    <t>3.กิจการที่เกี่ยวกับอาหาร เครื่องดื่ม น้ำดื่ม ยกเว้นในสถานที่จำหน่ายอาหาร                                                                 การเร่ขาย การขายในตลาด และการผลิตเพื่อบริโภคในครัวเรือน อันนี้ก็มีภายในเขตเทศบาลฯ</t>
  </si>
  <si>
    <t>4.กิจการที่เกี่ยวกับยา เวชภัณฑ์ อุปกรณ์การแพทย์ เครื่องสำอางค์ผลิตภัณฑ์ทำความสะอาด</t>
  </si>
  <si>
    <t>5.กิจการที่เกี่ยวกับการเกษตร</t>
  </si>
  <si>
    <t>6.กิจการที่เกี่ยวโลหะหรือแร่</t>
  </si>
  <si>
    <t>7.กิจการที่เกี่ยวกับยานยนต์ เครื่องจักรหรือเครื่องกล</t>
  </si>
  <si>
    <t>(6) การผลิต สะสม จำหน่าย ซ่อม หรืออัดแบตเตอรี่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</si>
</sst>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theme="1"/>
      <family val="2"/>
      <sz val="17"/>
      <name val="TH SarabunIT๙"/>
    </font>
    <font>
      <color theme="1"/>
      <family val="2"/>
      <sz val="16"/>
      <name val="TH SarabunIT๙"/>
    </font>
    <font>
      <b/>
      <color theme="1"/>
      <family val="2"/>
      <sz val="16"/>
      <name val="TH SarabunIT๙"/>
    </font>
    <font>
      <color theme="1"/>
      <family val="2"/>
      <sz val="14"/>
      <name val="TH SarabunIT๙"/>
    </font>
    <font>
      <charset val="222"/>
      <color theme="1"/>
      <family val="2"/>
      <scheme val="minor"/>
      <sz val="11"/>
      <name val="Aptos Narrow"/>
    </font>
    <font>
      <b/>
      <color theme="1"/>
      <family val="2"/>
      <sz val="18"/>
      <name val="TH SarabunIT๙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/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3"/>
  <sheetViews>
    <sheetView workbookViewId="0" zoomScale="106" zoomScaleNormal="106">
      <selection activeCell="M108" sqref="M108"/>
    </sheetView>
  </sheetViews>
  <sheetFormatPr defaultRowHeight="16.5" outlineLevelRow="0" outlineLevelCol="0" x14ac:dyDescent="0.3" customHeight="1"/>
  <cols>
    <col min="4" max="4" width="29.375" customWidth="1"/>
  </cols>
  <sheetData>
    <row r="1" ht="22.5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2" customHeight="1" spans="1:30" x14ac:dyDescent="0.25">
      <c r="A2" s="2"/>
      <c r="B2" s="2"/>
      <c r="C2" s="2"/>
      <c r="D2" s="2"/>
      <c r="E2" s="2"/>
      <c r="F2" s="2"/>
      <c r="G2" s="2"/>
      <c r="H2" s="2"/>
    </row>
    <row r="3" ht="19.5" customHeight="1" spans="1:30" x14ac:dyDescent="0.25">
      <c r="A3" s="3" t="s">
        <v>1</v>
      </c>
      <c r="B3" s="3"/>
      <c r="C3" s="3"/>
      <c r="D3" s="3"/>
      <c r="E3" s="3" t="s">
        <v>2</v>
      </c>
      <c r="F3" s="3"/>
      <c r="G3" s="3"/>
      <c r="H3" s="3"/>
    </row>
    <row r="4" ht="20.25" customHeight="1" spans="1:30" x14ac:dyDescent="0.25">
      <c r="A4" s="3"/>
      <c r="B4" s="3"/>
      <c r="C4" s="3"/>
      <c r="D4" s="3"/>
      <c r="E4" s="3" t="s">
        <v>3</v>
      </c>
      <c r="F4" s="3" t="s">
        <v>4</v>
      </c>
      <c r="G4" s="3" t="s">
        <v>5</v>
      </c>
      <c r="H4" s="3" t="s">
        <v>6</v>
      </c>
    </row>
    <row r="5" ht="23.25" customHeight="1" spans="1:30" x14ac:dyDescent="0.25">
      <c r="A5" s="4" t="s">
        <v>7</v>
      </c>
      <c r="B5" s="4"/>
      <c r="C5" s="4"/>
      <c r="D5" s="4"/>
      <c r="E5" s="4"/>
      <c r="F5" s="4"/>
      <c r="G5" s="4"/>
      <c r="H5" s="4"/>
    </row>
    <row r="6" ht="21" customHeight="1" spans="1:30" x14ac:dyDescent="0.25">
      <c r="A6" s="5" t="s">
        <v>8</v>
      </c>
      <c r="B6" s="6"/>
      <c r="C6" s="6"/>
      <c r="D6" s="7"/>
      <c r="E6" s="8">
        <v>0</v>
      </c>
      <c r="F6" s="8">
        <v>0</v>
      </c>
      <c r="G6" s="8">
        <v>0</v>
      </c>
      <c r="H6" s="8">
        <v>0</v>
      </c>
    </row>
    <row r="7" ht="20.25" customHeight="1" spans="1:30" x14ac:dyDescent="0.25">
      <c r="A7" s="9" t="s">
        <v>9</v>
      </c>
      <c r="B7" s="10"/>
      <c r="C7" s="10"/>
      <c r="D7" s="11"/>
      <c r="E7" s="8">
        <v>0</v>
      </c>
      <c r="F7" s="8">
        <v>0</v>
      </c>
      <c r="G7" s="8">
        <v>0</v>
      </c>
      <c r="H7" s="8">
        <v>0</v>
      </c>
    </row>
    <row r="8" ht="18.75" customHeight="1" spans="1:30" x14ac:dyDescent="0.25">
      <c r="A8" s="9" t="s">
        <v>10</v>
      </c>
      <c r="B8" s="10"/>
      <c r="C8" s="10"/>
      <c r="D8" s="11"/>
      <c r="E8" s="8">
        <v>0</v>
      </c>
      <c r="F8" s="8">
        <v>0</v>
      </c>
      <c r="G8" s="8">
        <v>0</v>
      </c>
      <c r="H8" s="8">
        <v>0</v>
      </c>
    </row>
    <row r="9" ht="21" customHeight="1" spans="1:30" x14ac:dyDescent="0.25">
      <c r="A9" s="9" t="s">
        <v>11</v>
      </c>
      <c r="B9" s="10"/>
      <c r="C9" s="10"/>
      <c r="D9" s="11"/>
      <c r="E9" s="8">
        <v>0</v>
      </c>
      <c r="F9" s="8">
        <v>0</v>
      </c>
      <c r="G9" s="8">
        <v>0</v>
      </c>
      <c r="H9" s="8">
        <v>0</v>
      </c>
    </row>
    <row r="10" ht="18.75" customHeight="1" spans="1:30" x14ac:dyDescent="0.25">
      <c r="A10" s="9" t="s">
        <v>12</v>
      </c>
      <c r="B10" s="10"/>
      <c r="C10" s="10"/>
      <c r="D10" s="11"/>
      <c r="E10" s="8">
        <v>0</v>
      </c>
      <c r="F10" s="8">
        <v>0</v>
      </c>
      <c r="G10" s="8">
        <v>0</v>
      </c>
      <c r="H10" s="8">
        <v>0</v>
      </c>
    </row>
    <row r="11" ht="21" customHeight="1" spans="1:30" x14ac:dyDescent="0.25">
      <c r="A11" s="9" t="s">
        <v>13</v>
      </c>
      <c r="B11" s="10"/>
      <c r="C11" s="10"/>
      <c r="D11" s="11"/>
      <c r="E11" s="8">
        <v>0</v>
      </c>
      <c r="F11" s="8">
        <v>0</v>
      </c>
      <c r="G11" s="8">
        <v>0</v>
      </c>
      <c r="H11" s="8">
        <v>0</v>
      </c>
    </row>
    <row r="12" ht="39.75" customHeight="1" spans="1:30" x14ac:dyDescent="0.25">
      <c r="A12" s="12" t="s">
        <v>14</v>
      </c>
      <c r="B12" s="13"/>
      <c r="C12" s="13"/>
      <c r="D12" s="13"/>
      <c r="E12" s="13"/>
      <c r="F12" s="13"/>
      <c r="G12" s="13"/>
      <c r="H12" s="14"/>
    </row>
    <row r="13" ht="37.5" customHeight="1" spans="1:30" x14ac:dyDescent="0.25">
      <c r="A13" s="15" t="str">
        <f>'[1]รายเก่า รายใหม่'!A14</f>
        <v>(1) การฆ่า หรือชำแหละสัตว์ ยกเว้นในสถานที่จำหน่ายอาหาร เร่ขาย หรือขายในตลาด</v>
      </c>
      <c r="B13" s="16"/>
      <c r="C13" s="16"/>
      <c r="D13" s="16"/>
      <c r="E13" s="8">
        <v>0</v>
      </c>
      <c r="F13" s="8">
        <v>0</v>
      </c>
      <c r="G13" s="8">
        <v>0</v>
      </c>
      <c r="H13" s="8">
        <v>0</v>
      </c>
    </row>
    <row r="14" ht="20.25" customHeight="1" spans="1:30" x14ac:dyDescent="0.25">
      <c r="A14" s="16" t="str">
        <f>'[1]รายเก่า รายใหม่'!A15</f>
        <v>(2) การหมัก ฟอก ตาก หรือสะสมหนังสัตว์ ขนสัตว์</v>
      </c>
      <c r="B14" s="16"/>
      <c r="C14" s="16"/>
      <c r="D14" s="16"/>
      <c r="E14" s="8">
        <v>2</v>
      </c>
      <c r="F14" s="8">
        <v>0</v>
      </c>
      <c r="G14" s="8">
        <v>2</v>
      </c>
      <c r="H14" s="8">
        <v>0</v>
      </c>
    </row>
    <row r="15" ht="19.5" customHeight="1" spans="1:30" x14ac:dyDescent="0.25">
      <c r="A15" s="16" t="str">
        <f>'[1]รายเก่า รายใหม่'!A16</f>
        <v>(3) การสะสมเขา กระดูก หรือชิ้นส่วนสัตว์ที่ยังมิได้แปรรูป</v>
      </c>
      <c r="B15" s="16"/>
      <c r="C15" s="16"/>
      <c r="D15" s="16"/>
      <c r="E15" s="8">
        <v>0</v>
      </c>
      <c r="F15" s="8">
        <v>0</v>
      </c>
      <c r="G15" s="8">
        <v>0</v>
      </c>
      <c r="H15" s="8">
        <v>0</v>
      </c>
    </row>
    <row r="16" ht="21" customHeight="1" spans="1:30" x14ac:dyDescent="0.25">
      <c r="A16" s="16" t="str">
        <f>'[1]รายเก่า รายใหม่'!A17</f>
        <v>(4) การเคี่ยวหนัง เอ็น หรือไขสัตว์</v>
      </c>
      <c r="B16" s="16"/>
      <c r="C16" s="16"/>
      <c r="D16" s="16"/>
      <c r="E16" s="8">
        <v>0</v>
      </c>
      <c r="F16" s="8">
        <v>0</v>
      </c>
      <c r="G16" s="8">
        <v>0</v>
      </c>
      <c r="H16" s="8">
        <v>0</v>
      </c>
    </row>
    <row r="17" ht="57" customHeight="1" spans="1:30" x14ac:dyDescent="0.25">
      <c r="A17" s="15" t="str">
        <f>'[1]รายเก่า รายใหม่'!A18</f>
        <v>(5) การผลิตสิ่งของเครื่องใช้หรือผลิตภัณฑ์อื่น ๆ จากเปลือก กระดอง กระดูก เขา หนัง ขนสัตว์หรือส่วนอื่น ๆ ของสัตว์ด้วยการต้ม นึ่ง ตาก เผาหรือกรรมวิธีใด ๆ ซึ่งมิใช่เพื่อเป็นอาหาร</v>
      </c>
      <c r="B17" s="16"/>
      <c r="C17" s="16"/>
      <c r="D17" s="16"/>
      <c r="E17" s="8">
        <v>0</v>
      </c>
      <c r="F17" s="8">
        <v>0</v>
      </c>
      <c r="G17" s="8">
        <v>0</v>
      </c>
      <c r="H17" s="8"/>
    </row>
    <row r="18" ht="57.75" customHeight="1" spans="1:30" x14ac:dyDescent="0.25">
      <c r="A18" s="15" t="str">
        <f>'[1]รายเก่า รายใหม่'!A19</f>
        <v>(6) การผลิต โม่ ป่น บด ผสม บรรจุ สะสม หรือกระทำอื่นใดต่อสัตว์หรือพืช หรือส่วนหนึ่งส่วนใดของสัตว์หรือพืชเพื่อเป็นอาหารสัตว์หรือส่วนประกอบของอาหารสัตว์</v>
      </c>
      <c r="B18" s="16"/>
      <c r="C18" s="16"/>
      <c r="D18" s="16"/>
      <c r="E18" s="8">
        <v>0</v>
      </c>
      <c r="F18" s="8">
        <v>0</v>
      </c>
      <c r="G18" s="8">
        <v>0</v>
      </c>
      <c r="H18" s="8">
        <v>0</v>
      </c>
    </row>
    <row r="19" ht="20.25" customHeight="1" spans="1:30" x14ac:dyDescent="0.25">
      <c r="A19" s="16" t="str">
        <f>'[1]รายเก่า รายใหม่'!A20</f>
        <v>(7) การผลิต แปรรูป สะสม หรือล้างครั่ง</v>
      </c>
      <c r="B19" s="16"/>
      <c r="C19" s="16"/>
      <c r="D19" s="16"/>
      <c r="E19" s="8">
        <v>0</v>
      </c>
      <c r="F19" s="8">
        <v>0</v>
      </c>
      <c r="G19" s="8">
        <v>0</v>
      </c>
      <c r="H19" s="8">
        <v>0</v>
      </c>
      <c r="I19" s="17"/>
      <c r="J19" s="17"/>
    </row>
    <row r="20" ht="41.25" customHeight="1" spans="1:30" x14ac:dyDescent="0.25">
      <c r="A20" s="18" t="s">
        <v>15</v>
      </c>
      <c r="B20" s="19"/>
      <c r="C20" s="19"/>
      <c r="D20" s="19"/>
      <c r="E20" s="19"/>
      <c r="F20" s="19"/>
      <c r="G20" s="19"/>
      <c r="H20" s="19"/>
    </row>
    <row r="21" ht="38.25" customHeight="1" spans="1:30" x14ac:dyDescent="0.25">
      <c r="A21" s="15" t="str">
        <f>'[1]รายเก่า รายใหม่'!A22</f>
        <v>(1) การผลิต สะสม หรือแบ่งบรรจุ น้ำพริกแกง น้ำพริกปรุงสำเร็จ เต้าเจี้ยว ซีอิ๊ว น้ำจิ้ม หรือซอสปรุงรสชนิดต่าง ๆ</v>
      </c>
      <c r="B21" s="16"/>
      <c r="C21" s="16"/>
      <c r="D21" s="16"/>
      <c r="E21" s="8">
        <v>0</v>
      </c>
      <c r="F21" s="8">
        <v>0</v>
      </c>
      <c r="G21" s="8">
        <v>0</v>
      </c>
      <c r="H21" s="8">
        <v>0</v>
      </c>
    </row>
    <row r="22" ht="55.5" customHeight="1" spans="1:30" x14ac:dyDescent="0.25">
      <c r="A22" s="15" t="str">
        <f>'[1]รายเก่า รายใหม่'!A23</f>
        <v>(2) การผลิต สะสม หรือแบ่งบรรจุ อาหารหมัก ดอง จากสัตว์ ได้แก่ ปลาร้า ปลาเจ่า กุ้งเจ่า ปลาส้ม ปลาจ่อม แหนม หม่ำ ไส้กรอก กะปิ น้ำปลา หอยดอง น้ำเคย น้ำบูดู ไตปลา หรือผลิตภัณฑ์อื่น ๆ ที่คล้ายคลึงกัน</v>
      </c>
      <c r="B22" s="16"/>
      <c r="C22" s="16"/>
      <c r="D22" s="16"/>
      <c r="E22" s="8">
        <v>0</v>
      </c>
      <c r="F22" s="8">
        <v>0</v>
      </c>
      <c r="G22" s="8">
        <v>0</v>
      </c>
      <c r="H22" s="8">
        <v>0</v>
      </c>
    </row>
    <row r="23" ht="37.5" customHeight="1" spans="1:30" x14ac:dyDescent="0.25">
      <c r="A23" s="15" t="str">
        <f>'[1]รายเก่า รายใหม่'!A24</f>
        <v>(3) การผลิต สะสม หรือแบ่งบรรจุ อาหารหมัก ดอง แช่อิ่ม จากผัก ผลไม้ หรือพืชอย่างอื่น</v>
      </c>
      <c r="B23" s="16"/>
      <c r="C23" s="16"/>
      <c r="D23" s="16"/>
      <c r="E23" s="8">
        <v>0</v>
      </c>
      <c r="F23" s="8">
        <v>0</v>
      </c>
      <c r="G23" s="8">
        <v>0</v>
      </c>
      <c r="H23" s="8">
        <v>0</v>
      </c>
    </row>
    <row r="24" ht="39.75" customHeight="1" spans="1:30" x14ac:dyDescent="0.25">
      <c r="A24" s="15" t="str">
        <f>'[1]รายเก่า รายใหม่'!A25</f>
        <v>(4) การผลิต สะสม หรือแบ่งบรรจุ อาหารจากพืชหรือสตว์ โดยการตาก บด นึ่ง ต้ม ตุ๋น เคี่ยว กวน ฉาบ ทอด อบ รมควัน ปิ้ง ย่าง เผา หรือวิธีอื่นใด</v>
      </c>
      <c r="B24" s="16"/>
      <c r="C24" s="16"/>
      <c r="D24" s="16"/>
      <c r="E24" s="8">
        <v>0</v>
      </c>
      <c r="F24" s="8">
        <v>0</v>
      </c>
      <c r="G24" s="8">
        <v>0</v>
      </c>
      <c r="H24" s="8">
        <v>0</v>
      </c>
    </row>
    <row r="25" ht="22.5" customHeight="1" spans="1:30" x14ac:dyDescent="0.25">
      <c r="A25" s="20" t="str">
        <f>'[1]รายเก่า รายใหม่'!A26</f>
        <v>(5) การผลิต สะสม หรือแบ่งบรรจุลูกชิ้น</v>
      </c>
      <c r="B25" s="20"/>
      <c r="C25" s="20"/>
      <c r="D25" s="20"/>
      <c r="E25" s="8">
        <v>0</v>
      </c>
      <c r="F25" s="8">
        <v>0</v>
      </c>
      <c r="G25" s="8">
        <v>0</v>
      </c>
      <c r="H25" s="8">
        <v>0</v>
      </c>
    </row>
    <row r="26" ht="42" customHeight="1" spans="1:30" x14ac:dyDescent="0.25">
      <c r="A26" s="21" t="str">
        <f>'[1]รายเก่า รายใหม่'!A27</f>
        <v>(6) การผลิต สะสม หรือแบ่งบรรจุ เส้นหมี่ ขนมจีน ก๋วยเตี๋ยว เต้าฮวย เต้าหู้ วุ้นเส้น เกี้ยมอี๋ เนื้อสัตว์เทียม หรือผลิตภัณฑ์อื่น ๆ ที่คล้ายคลึงกัน</v>
      </c>
      <c r="B26" s="20"/>
      <c r="C26" s="20"/>
      <c r="D26" s="20"/>
      <c r="E26" s="8">
        <v>0</v>
      </c>
      <c r="F26" s="8">
        <v>0</v>
      </c>
      <c r="G26" s="8">
        <v>0</v>
      </c>
      <c r="H26" s="8">
        <v>0</v>
      </c>
    </row>
    <row r="27" ht="24" customHeight="1" spans="1:30" x14ac:dyDescent="0.25">
      <c r="A27" s="3" t="s">
        <v>1</v>
      </c>
      <c r="B27" s="3"/>
      <c r="C27" s="3"/>
      <c r="D27" s="3"/>
      <c r="E27" s="3" t="s">
        <v>2</v>
      </c>
      <c r="F27" s="3"/>
      <c r="G27" s="3"/>
      <c r="H27" s="3"/>
    </row>
    <row r="28" ht="21.75" customHeight="1" spans="1:30" x14ac:dyDescent="0.25">
      <c r="A28" s="3"/>
      <c r="B28" s="3"/>
      <c r="C28" s="3"/>
      <c r="D28" s="3"/>
      <c r="E28" s="3" t="s">
        <v>3</v>
      </c>
      <c r="F28" s="3" t="s">
        <v>4</v>
      </c>
      <c r="G28" s="3" t="s">
        <v>5</v>
      </c>
      <c r="H28" s="3" t="s">
        <v>6</v>
      </c>
    </row>
    <row r="29" ht="21.75" customHeight="1" spans="1:30" x14ac:dyDescent="0.25">
      <c r="A29" s="20" t="str">
        <f>'[1]รายเก่า รายใหม่'!A28</f>
        <v>(7) การผลิตบะหมี่ มักกะโรนี สปาเกตตี้ พาสตา หรือผลิตภัณฑ์อื่น ๆ ที่คล้ายคลึงกัน</v>
      </c>
      <c r="B29" s="20"/>
      <c r="C29" s="20"/>
      <c r="D29" s="20"/>
      <c r="E29" s="8">
        <v>0</v>
      </c>
      <c r="F29" s="8">
        <v>0</v>
      </c>
      <c r="G29" s="8">
        <v>0</v>
      </c>
      <c r="H29" s="8">
        <v>0</v>
      </c>
    </row>
    <row r="30" ht="20.25" customHeight="1" spans="1:30" x14ac:dyDescent="0.25">
      <c r="A30" s="20" t="str">
        <f>'[1]รายเก่า รายใหม่'!A29</f>
        <v>(8) การผลิต ขนมปังสด ขนมปังแห้ง จันอับ ขนมเปี๊ยะ ขนมอบอื่น ๆ</v>
      </c>
      <c r="B30" s="20"/>
      <c r="C30" s="20"/>
      <c r="D30" s="20"/>
      <c r="E30" s="8">
        <v>3</v>
      </c>
      <c r="F30" s="8">
        <v>1</v>
      </c>
      <c r="G30" s="8">
        <v>2</v>
      </c>
      <c r="H30" s="8">
        <v>0</v>
      </c>
    </row>
    <row r="31" ht="21.75" customHeight="1" spans="1:30" x14ac:dyDescent="0.25">
      <c r="A31" s="20" t="str">
        <f>'[1]รายเก่า รายใหม่'!A30</f>
        <v>(9) การผลิต สะสม หรือแบ่งบรรจุ น้ำนม หรือผลิตภัณฑ์จากน้ำนมสัตว์</v>
      </c>
      <c r="B31" s="20"/>
      <c r="C31" s="20"/>
      <c r="D31" s="20"/>
      <c r="E31" s="8">
        <v>1</v>
      </c>
      <c r="F31" s="8">
        <v>0</v>
      </c>
      <c r="G31" s="8">
        <v>1</v>
      </c>
      <c r="H31" s="8">
        <v>0</v>
      </c>
    </row>
    <row r="32" ht="39.75" customHeight="1" spans="1:30" x14ac:dyDescent="0.25">
      <c r="A32" s="21" t="str">
        <f>'[1]รายเก่า รายใหม่'!A31</f>
        <v>(10) การผลิต สะสม หรือแบ่งบรรจุ เนย เนยเทียม เนยผสม ผลิตภัณฑ์เนย ผลิตภัณฑ์เนยเทียม และผลิตภัณฑ์เนยผสม</v>
      </c>
      <c r="B32" s="20"/>
      <c r="C32" s="20"/>
      <c r="D32" s="20"/>
      <c r="E32" s="8">
        <v>0</v>
      </c>
      <c r="F32" s="8">
        <v>0</v>
      </c>
      <c r="G32" s="8">
        <v>0</v>
      </c>
      <c r="H32" s="8">
        <v>0</v>
      </c>
    </row>
    <row r="33" ht="24.75" customHeight="1" spans="1:30" x14ac:dyDescent="0.25">
      <c r="A33" s="20" t="str">
        <f>'[1]รายเก่า รายใหม่'!A32</f>
        <v>(11) การผลิตไอศกรีม</v>
      </c>
      <c r="B33" s="20"/>
      <c r="C33" s="20"/>
      <c r="D33" s="20"/>
      <c r="E33" s="8">
        <v>0</v>
      </c>
      <c r="F33" s="8">
        <v>0</v>
      </c>
      <c r="G33" s="8">
        <v>0</v>
      </c>
      <c r="H33" s="8">
        <v>0</v>
      </c>
    </row>
    <row r="34" ht="24" customHeight="1" spans="1:30" x14ac:dyDescent="0.25">
      <c r="A34" s="20" t="str">
        <f>'[1]รายเก่า รายใหม่'!A33</f>
        <v>(12) การคั่ว สะสม หรือแบ่งบรรจุกาแฟ</v>
      </c>
      <c r="B34" s="20"/>
      <c r="C34" s="20"/>
      <c r="D34" s="20"/>
      <c r="E34" s="8">
        <v>0</v>
      </c>
      <c r="F34" s="8">
        <v>0</v>
      </c>
      <c r="G34" s="8">
        <v>0</v>
      </c>
      <c r="H34" s="8">
        <v>0</v>
      </c>
    </row>
    <row r="35" ht="29.25" customHeight="1" spans="1:30" x14ac:dyDescent="0.25">
      <c r="A35" s="21" t="str">
        <f>'[1]รายเก่า รายใหม่'!A34</f>
        <v>(13) การผลิต สะสม หรือแบ่งบรรจุ ใบชาแห้ง ชาผง หรือเครื่องดื่มชนิดผงอื่น ๆ</v>
      </c>
      <c r="B35" s="20"/>
      <c r="C35" s="20"/>
      <c r="D35" s="20"/>
      <c r="E35" s="8">
        <v>0</v>
      </c>
      <c r="F35" s="8">
        <v>0</v>
      </c>
      <c r="G35" s="8">
        <v>0</v>
      </c>
      <c r="H35" s="8">
        <v>0</v>
      </c>
    </row>
    <row r="36" ht="39.75" customHeight="1" spans="1:30" x14ac:dyDescent="0.25">
      <c r="A36" s="21" t="str">
        <f>'[1]รายเก่า รายใหม่'!A35</f>
        <v>(14) การผลิต สะสม หรือแบ่งบรรจุ เอทิลแอลกอฮอล์ สุรา เบียร์ ไวน์ น้ำส้มสายชู ข้าวหมาก น้ำตาลเมา</v>
      </c>
      <c r="B36" s="20"/>
      <c r="C36" s="20"/>
      <c r="D36" s="20"/>
      <c r="E36" s="8">
        <v>0</v>
      </c>
      <c r="F36" s="8">
        <v>0</v>
      </c>
      <c r="G36" s="8">
        <v>0</v>
      </c>
      <c r="H36" s="8">
        <v>0</v>
      </c>
    </row>
    <row r="37" ht="21.75" customHeight="1" spans="1:30" x14ac:dyDescent="0.25">
      <c r="A37" s="20" t="str">
        <f>'[1]รายเก่า รายใหม่'!A36</f>
        <v>(15) การผลิตน้ำกลั่น น้ำบริโภค น้ำดื่มจากเครื่องจำหน่ายอัตโนมัติ</v>
      </c>
      <c r="B37" s="20"/>
      <c r="C37" s="20"/>
      <c r="D37" s="20"/>
      <c r="E37" s="8">
        <v>0</v>
      </c>
      <c r="F37" s="8">
        <v>0</v>
      </c>
      <c r="G37" s="8">
        <v>0</v>
      </c>
      <c r="H37" s="8">
        <v>0</v>
      </c>
    </row>
    <row r="38" ht="21.75" customHeight="1" spans="1:30" x14ac:dyDescent="0.25">
      <c r="A38" s="20" t="str">
        <f>'[1]รายเก่า รายใหม่'!A37</f>
        <v>(16) การผลิต สะสม แบ่งบรรจุ หรือขนส่งน้ำแข็ง</v>
      </c>
      <c r="B38" s="20"/>
      <c r="C38" s="20"/>
      <c r="D38" s="20"/>
      <c r="E38" s="8">
        <v>0</v>
      </c>
      <c r="F38" s="8">
        <v>0</v>
      </c>
      <c r="G38" s="8">
        <v>0</v>
      </c>
      <c r="H38" s="8">
        <v>0</v>
      </c>
    </row>
    <row r="39" ht="42.75" customHeight="1" spans="1:30" x14ac:dyDescent="0.25">
      <c r="A39" s="21" t="str">
        <f>'[1]รายเก่า รายใหม่'!A38</f>
        <v>(17) การผลิต สะสม หรือแบ่งบรรจุ น้ำอัดลม น้ำหวาน น้ำโซดา น้ำจากพืช ผัก ผลไม้ เครื่องดื่มชนิดต่าง ๆ บรรจุกระป๋อง ขวดหรือภาชนะอื่นใด</v>
      </c>
      <c r="B39" s="20"/>
      <c r="C39" s="20"/>
      <c r="D39" s="20"/>
      <c r="E39" s="8">
        <v>0</v>
      </c>
      <c r="F39" s="8">
        <v>0</v>
      </c>
      <c r="G39" s="8">
        <v>0</v>
      </c>
      <c r="H39" s="8">
        <v>1</v>
      </c>
    </row>
    <row r="40" ht="24.75" customHeight="1" spans="1:30" x14ac:dyDescent="0.25">
      <c r="A40" s="21" t="str">
        <f>'[1]รายเก่า รายใหม่'!A39</f>
        <v>(18) การผลิต สะสม หรือแบ่งบรรจุ อาหารบรรจุกระป๋อง ขวด หรือภาชนะอื่นใด</v>
      </c>
      <c r="B40" s="20"/>
      <c r="C40" s="20"/>
      <c r="D40" s="20"/>
      <c r="E40" s="8">
        <v>4</v>
      </c>
      <c r="F40" s="8">
        <v>0</v>
      </c>
      <c r="G40" s="8">
        <v>3</v>
      </c>
      <c r="H40" s="8">
        <v>0</v>
      </c>
    </row>
    <row r="41" ht="24.75" customHeight="1" spans="1:30" x14ac:dyDescent="0.25">
      <c r="A41" s="20" t="str">
        <f>'[1]รายเก่า รายใหม่'!A40</f>
        <v>(19) การผลิต สะสม หรือแบ่งบรรจุ ผงชูรส หรือสารปรุงแต่งอาหาร</v>
      </c>
      <c r="B41" s="20"/>
      <c r="C41" s="20"/>
      <c r="D41" s="20"/>
      <c r="E41" s="22">
        <v>0</v>
      </c>
      <c r="F41" s="22">
        <v>0</v>
      </c>
      <c r="G41" s="22">
        <v>0</v>
      </c>
      <c r="H41" s="22">
        <v>0</v>
      </c>
    </row>
    <row r="42" ht="27" customHeight="1" spans="1:30" x14ac:dyDescent="0.25">
      <c r="A42" s="20" t="str">
        <f>'[1]รายเก่า รายใหม่'!A41</f>
        <v>(20) การผลิต สะสม หรือแบ่งบรรจุ น้ำตาล น้ำเชื่อม</v>
      </c>
      <c r="B42" s="20"/>
      <c r="C42" s="20"/>
      <c r="D42" s="20"/>
      <c r="E42" s="22">
        <v>0</v>
      </c>
      <c r="F42" s="22">
        <v>0</v>
      </c>
      <c r="G42" s="22">
        <v>0</v>
      </c>
      <c r="H42" s="22">
        <v>0</v>
      </c>
    </row>
    <row r="43" ht="24" customHeight="1" spans="1:30" x14ac:dyDescent="0.25">
      <c r="A43" s="20" t="str">
        <f>'[1]รายเก่า รายใหม่'!A42</f>
        <v>(21) การผลิต สะสม หรือแบ่งบรรจุแบะแซ</v>
      </c>
      <c r="B43" s="20"/>
      <c r="C43" s="20"/>
      <c r="D43" s="20"/>
      <c r="E43" s="22">
        <v>0</v>
      </c>
      <c r="F43" s="22">
        <v>0</v>
      </c>
      <c r="G43" s="22">
        <v>0</v>
      </c>
      <c r="H43" s="22">
        <v>0</v>
      </c>
    </row>
    <row r="44" ht="28.5" customHeight="1" spans="1:30" x14ac:dyDescent="0.25">
      <c r="A44" s="21" t="str">
        <f>'[1]รายเก่า รายใหม่'!A43</f>
        <v>(22) การแกะ ตัดแต่ง ล้างสัตว์น้ำ ที่ไม่ใช่เป็นส่วนหนึ่งของกิจการห้องเย็น</v>
      </c>
      <c r="B44" s="20"/>
      <c r="C44" s="20"/>
      <c r="D44" s="20"/>
      <c r="E44" s="22">
        <v>0</v>
      </c>
      <c r="F44" s="22">
        <v>0</v>
      </c>
      <c r="G44" s="22">
        <v>0</v>
      </c>
      <c r="H44" s="22">
        <v>0</v>
      </c>
    </row>
    <row r="45" ht="22.5" customHeight="1" spans="1:30" x14ac:dyDescent="0.25">
      <c r="A45" s="20" t="str">
        <f>'[1]รายเก่า รายใหม่'!A44</f>
        <v>(23) การประกอบกิจการห้องเย็นแช่แข็งอาหาร</v>
      </c>
      <c r="B45" s="20"/>
      <c r="C45" s="20"/>
      <c r="D45" s="20"/>
      <c r="E45" s="8">
        <v>1</v>
      </c>
      <c r="F45" s="8">
        <v>0</v>
      </c>
      <c r="G45" s="8">
        <v>1</v>
      </c>
      <c r="H45" s="8">
        <v>0</v>
      </c>
    </row>
    <row r="46" ht="21.75" customHeight="1" spans="1:30" x14ac:dyDescent="0.25">
      <c r="A46" s="20" t="str">
        <f>'[1]รายเก่า รายใหม่'!A45</f>
        <v>(24) การเก็บ การถนอมอาหารด้วยเครื่องจักร</v>
      </c>
      <c r="B46" s="20"/>
      <c r="C46" s="20"/>
      <c r="D46" s="20"/>
      <c r="E46" s="8">
        <v>1</v>
      </c>
      <c r="F46" s="8">
        <v>0</v>
      </c>
      <c r="G46" s="8">
        <v>1</v>
      </c>
      <c r="H46" s="8">
        <v>0</v>
      </c>
      <c r="I46" s="17"/>
      <c r="J46" s="17"/>
      <c r="K46" s="17"/>
      <c r="L46" s="17"/>
    </row>
    <row r="47" ht="25.5" customHeight="1" spans="1:30" x14ac:dyDescent="0.25">
      <c r="A47" s="23" t="s">
        <v>16</v>
      </c>
      <c r="B47" s="24"/>
      <c r="C47" s="24"/>
      <c r="D47" s="24"/>
      <c r="E47" s="24"/>
      <c r="F47" s="24"/>
      <c r="G47" s="24"/>
      <c r="H47" s="25"/>
    </row>
    <row r="48" ht="22.5" customHeight="1" spans="1:30" x14ac:dyDescent="0.25">
      <c r="A48" s="20" t="str">
        <f>'[1]รายเก่า รายใหม่'!A47</f>
        <v>(1) การผลิต โม่ บด ผสม หรือบรรจุยา</v>
      </c>
      <c r="B48" s="20"/>
      <c r="C48" s="20"/>
      <c r="D48" s="20"/>
      <c r="E48" s="8">
        <v>0</v>
      </c>
      <c r="F48" s="8">
        <v>0</v>
      </c>
      <c r="G48" s="8">
        <v>0</v>
      </c>
      <c r="H48" s="8">
        <v>0</v>
      </c>
    </row>
    <row r="49" ht="39" customHeight="1" spans="1:30" x14ac:dyDescent="0.25">
      <c r="A49" s="21" t="str">
        <f>'[1]รายเก่า รายใหม่'!A48</f>
        <v>(2) การผลิต บรรจุยาสีฟัน แชมพู ผ้าเย็น กระดาษเย็น เครื่องสำอาง รวมทั้งสบู่ที่ใช้กับร่างกาย</v>
      </c>
      <c r="B49" s="20"/>
      <c r="C49" s="20"/>
      <c r="D49" s="20"/>
      <c r="E49" s="8">
        <v>3</v>
      </c>
      <c r="F49" s="8">
        <v>0</v>
      </c>
      <c r="G49" s="8">
        <v>2</v>
      </c>
      <c r="H49" s="8">
        <v>0</v>
      </c>
    </row>
    <row r="50" ht="20.25" customHeight="1" spans="1:30" x14ac:dyDescent="0.25">
      <c r="A50" s="20" t="str">
        <f>'[1]รายเก่า รายใหม่'!A49</f>
        <v>(3) การผลิต บรรจุสำลี ผลิตภัณฑ์จากสำลี</v>
      </c>
      <c r="B50" s="20"/>
      <c r="C50" s="20"/>
      <c r="D50" s="20"/>
      <c r="E50" s="8">
        <v>0</v>
      </c>
      <c r="F50" s="8">
        <v>0</v>
      </c>
      <c r="G50" s="8">
        <v>0</v>
      </c>
      <c r="H50" s="8">
        <v>0</v>
      </c>
    </row>
    <row r="51" ht="20.25" customHeight="1" spans="1:30" x14ac:dyDescent="0.25">
      <c r="A51" s="9" t="str">
        <f>'[1]รายเก่า รายใหม่'!A50</f>
        <v>(4) การผลิตผ้าพันแผล ผ้าปิดแผล ผ้าอนามัย ผ้าอ้อมสำเร็จรูป</v>
      </c>
      <c r="B51" s="10"/>
      <c r="C51" s="10"/>
      <c r="D51" s="11"/>
      <c r="E51" s="8">
        <v>0</v>
      </c>
      <c r="F51" s="8">
        <v>0</v>
      </c>
      <c r="G51" s="8">
        <v>0</v>
      </c>
      <c r="H51" s="8">
        <v>0</v>
      </c>
    </row>
    <row r="52" ht="32.25" customHeight="1" spans="1:30" x14ac:dyDescent="0.25">
      <c r="A52" s="26" t="str">
        <f>'[1]รายเก่า รายใหม่'!A51</f>
        <v>(5) การผลิตผงซักฟอก สบู่ น้ำยาทำความสะอาด หรือผลิตภัณฑ์ทำความสะอาดต่าง ๆ</v>
      </c>
      <c r="B52" s="10"/>
      <c r="C52" s="10"/>
      <c r="D52" s="11"/>
      <c r="E52" s="8">
        <v>0</v>
      </c>
      <c r="F52" s="8">
        <v>0</v>
      </c>
      <c r="G52" s="8">
        <v>0</v>
      </c>
      <c r="H52" s="8">
        <v>0</v>
      </c>
      <c r="I52" s="17"/>
      <c r="J52" s="17"/>
    </row>
    <row r="53" ht="28.5" customHeight="1" spans="1:30" x14ac:dyDescent="0.25">
      <c r="A53" s="23" t="s">
        <v>17</v>
      </c>
      <c r="B53" s="24"/>
      <c r="C53" s="24"/>
      <c r="D53" s="24"/>
      <c r="E53" s="24"/>
      <c r="F53" s="24"/>
      <c r="G53" s="24"/>
      <c r="H53" s="25"/>
    </row>
    <row r="54" ht="20.25" customHeight="1" spans="1:30" x14ac:dyDescent="0.25">
      <c r="A54" s="9" t="str">
        <f>'[1]รายเก่า รายใหม่'!A53</f>
        <v>(1) การผลิต สะสม หรือแบ่งบรรจุน้ำมันจากพืช</v>
      </c>
      <c r="B54" s="10"/>
      <c r="C54" s="10"/>
      <c r="D54" s="11"/>
      <c r="E54" s="22">
        <v>0</v>
      </c>
      <c r="F54" s="22">
        <v>0</v>
      </c>
      <c r="G54" s="22">
        <v>0</v>
      </c>
      <c r="H54" s="22">
        <v>0</v>
      </c>
    </row>
    <row r="55" ht="22.5" customHeight="1" spans="1:30" x14ac:dyDescent="0.25">
      <c r="A55" s="26" t="str">
        <f>'[1]รายเก่า รายใหม่'!A54</f>
        <v>(2) การล้าง อบ รม หรือสะสมยางดิบ</v>
      </c>
      <c r="B55" s="10"/>
      <c r="C55" s="10"/>
      <c r="D55" s="11"/>
      <c r="E55" s="8">
        <v>0</v>
      </c>
      <c r="F55" s="8">
        <v>0</v>
      </c>
      <c r="G55" s="8">
        <v>0</v>
      </c>
      <c r="H55" s="8">
        <v>0</v>
      </c>
    </row>
    <row r="56" ht="22.5" customHeight="1" spans="1:30" x14ac:dyDescent="0.25">
      <c r="A56" s="9" t="str">
        <f>'[1]รายเก่า รายใหม่'!A55</f>
        <v>(3) การผลิต หรือแบ่งบรรจุแป้งมันสำปะหลัง แป้งสาคู แป้งจากพืช หรือแป้งอื่น ๆ ในทำนองเดียวกัน</v>
      </c>
      <c r="B56" s="10"/>
      <c r="C56" s="10"/>
      <c r="D56" s="11"/>
      <c r="E56" s="8">
        <v>0</v>
      </c>
      <c r="F56" s="8">
        <v>0</v>
      </c>
      <c r="G56" s="8">
        <v>0</v>
      </c>
      <c r="H56" s="8">
        <v>0</v>
      </c>
    </row>
    <row r="57" ht="24.75" customHeight="1" spans="1:30" x14ac:dyDescent="0.25">
      <c r="A57" s="3" t="s">
        <v>1</v>
      </c>
      <c r="B57" s="3"/>
      <c r="C57" s="3"/>
      <c r="D57" s="3"/>
      <c r="E57" s="3" t="s">
        <v>2</v>
      </c>
      <c r="F57" s="3"/>
      <c r="G57" s="3"/>
      <c r="H57" s="3"/>
    </row>
    <row r="58" ht="20.25" customHeight="1" spans="1:30" x14ac:dyDescent="0.25">
      <c r="A58" s="3"/>
      <c r="B58" s="3"/>
      <c r="C58" s="3"/>
      <c r="D58" s="3"/>
      <c r="E58" s="3" t="s">
        <v>3</v>
      </c>
      <c r="F58" s="3" t="s">
        <v>4</v>
      </c>
      <c r="G58" s="3" t="s">
        <v>5</v>
      </c>
      <c r="H58" s="3" t="s">
        <v>6</v>
      </c>
    </row>
    <row r="59" ht="20.25" customHeight="1" spans="1:30" x14ac:dyDescent="0.25">
      <c r="A59" s="9" t="str">
        <f>'[1]รายเก่า รายใหม่'!A56</f>
        <v>(4) การสีข้าว นวดข้าวด้วยเครื่องจักร หรือแบ่งบรรจุข้าวด้วยวิธีใด ๆ ก็ตาม</v>
      </c>
      <c r="B59" s="10"/>
      <c r="C59" s="10"/>
      <c r="D59" s="11"/>
      <c r="E59" s="8">
        <v>0</v>
      </c>
      <c r="F59" s="8">
        <v>0</v>
      </c>
      <c r="G59" s="8">
        <v>0</v>
      </c>
      <c r="H59" s="8">
        <v>0</v>
      </c>
    </row>
    <row r="60" ht="20.25" customHeight="1" spans="1:30" x14ac:dyDescent="0.25">
      <c r="A60" s="9" t="str">
        <f>'[1]รายเก่า รายใหม่'!A57</f>
        <v>(5) การผลิตยาสูบ</v>
      </c>
      <c r="B60" s="10"/>
      <c r="C60" s="10"/>
      <c r="D60" s="11"/>
      <c r="E60" s="8">
        <v>0</v>
      </c>
      <c r="F60" s="8">
        <v>0</v>
      </c>
      <c r="G60" s="8">
        <v>0</v>
      </c>
      <c r="H60" s="8">
        <v>0</v>
      </c>
    </row>
    <row r="61" ht="20.25" customHeight="1" spans="1:30" x14ac:dyDescent="0.25">
      <c r="A61" s="9" t="str">
        <f>'[1]รายเก่า รายใหม่'!A58</f>
        <v>(6) การขัด กะเทาะ หรือบดเมล็ดพืช</v>
      </c>
      <c r="B61" s="10"/>
      <c r="C61" s="10"/>
      <c r="D61" s="11"/>
      <c r="E61" s="8">
        <v>0</v>
      </c>
      <c r="F61" s="8">
        <v>0</v>
      </c>
      <c r="G61" s="8">
        <v>0</v>
      </c>
      <c r="H61" s="8">
        <v>0</v>
      </c>
    </row>
    <row r="62" ht="20.25" customHeight="1" spans="1:30" x14ac:dyDescent="0.25">
      <c r="A62" s="9" t="str">
        <f>'[1]รายเก่า รายใหม่'!A59</f>
        <v>(7) การผลิต สะสม หรือแบ่งบรรจุปุ๋ยหรือวัสดุที่นำไปผลิตปุ๋ย</v>
      </c>
      <c r="B62" s="10"/>
      <c r="C62" s="10"/>
      <c r="D62" s="11"/>
      <c r="E62" s="8">
        <v>7</v>
      </c>
      <c r="F62" s="8">
        <v>0</v>
      </c>
      <c r="G62" s="8">
        <v>7</v>
      </c>
      <c r="H62" s="8">
        <v>0</v>
      </c>
    </row>
    <row r="63" ht="20.25" customHeight="1" spans="1:30" x14ac:dyDescent="0.25">
      <c r="A63" s="9" t="str">
        <f>'[1]รายเก่า รายใหม่'!A60</f>
        <v>(8) การผลิตเส้นใยจากพืช</v>
      </c>
      <c r="B63" s="10"/>
      <c r="C63" s="10"/>
      <c r="D63" s="11"/>
      <c r="E63" s="8">
        <v>0</v>
      </c>
      <c r="F63" s="8">
        <v>0</v>
      </c>
      <c r="G63" s="8">
        <v>0</v>
      </c>
      <c r="H63" s="8">
        <v>0</v>
      </c>
    </row>
    <row r="64" ht="21.75" customHeight="1" spans="1:30" x14ac:dyDescent="0.25">
      <c r="A64" s="26" t="str">
        <f>'[1]รายเก่า รายใหม่'!A61</f>
        <v>(9) การตาก สะสม ขนถ่ายผลิตผลของมันสำปะหลัง ข้าวเปลือก อ้อย ข้าวโพด</v>
      </c>
      <c r="B64" s="10"/>
      <c r="C64" s="10"/>
      <c r="D64" s="11"/>
      <c r="E64" s="8">
        <v>0</v>
      </c>
      <c r="F64" s="8">
        <v>0</v>
      </c>
      <c r="G64" s="8">
        <v>0</v>
      </c>
      <c r="H64" s="8">
        <v>0</v>
      </c>
      <c r="I64" s="17"/>
      <c r="J64" s="17"/>
    </row>
    <row r="65" ht="28.5" customHeight="1" spans="1:30" x14ac:dyDescent="0.25">
      <c r="A65" s="23" t="s">
        <v>18</v>
      </c>
      <c r="B65" s="24"/>
      <c r="C65" s="24"/>
      <c r="D65" s="24"/>
      <c r="E65" s="24"/>
      <c r="F65" s="24"/>
      <c r="G65" s="24"/>
      <c r="H65" s="25"/>
    </row>
    <row r="66" ht="42.75" customHeight="1" spans="1:30" x14ac:dyDescent="0.25">
      <c r="A66" s="26" t="str">
        <f>'[1]รายเก่า รายใหม่'!A63</f>
        <v>(1) การผลิตภาชนะ เครื่องประดับ เครื่องมือ อุปกรณ์ หรือเครื่องใช้ต่าง ๆ ด้วยโลหะหรือแร่</v>
      </c>
      <c r="B66" s="27"/>
      <c r="C66" s="27"/>
      <c r="D66" s="28"/>
      <c r="E66" s="8">
        <v>1</v>
      </c>
      <c r="F66" s="8">
        <v>0</v>
      </c>
      <c r="G66" s="8">
        <v>1</v>
      </c>
      <c r="H66" s="8">
        <v>0</v>
      </c>
    </row>
    <row r="67" ht="27.75" customHeight="1" spans="1:30" x14ac:dyDescent="0.25">
      <c r="A67" s="29" t="str">
        <f>'[1]รายเก่า รายใหม่'!A64</f>
        <v>(2) การถลุงแร่ การหลอม หรือหล่อโลหะทุกชนิด ยกเว้นกิจการที่ได้รับใบอนุญาต ใน 6 (1)</v>
      </c>
      <c r="B67" s="30"/>
      <c r="C67" s="30"/>
      <c r="D67" s="31"/>
      <c r="E67" s="8">
        <v>0</v>
      </c>
      <c r="F67" s="8">
        <v>0</v>
      </c>
      <c r="G67" s="8">
        <v>0</v>
      </c>
      <c r="H67" s="8">
        <v>0</v>
      </c>
    </row>
    <row r="68" ht="45.75" customHeight="1" spans="1:30" x14ac:dyDescent="0.25">
      <c r="A68" s="26" t="str">
        <f>'[1]รายเก่า รายใหม่'!A65</f>
        <v>(3) การกลึง เจาะ เชื่อม ตี ตัด ประสาน รีด หรืออัดโลหะด้วยเครื่องจักร หรือก๊าซ หรือไฟฟ้า ยกเว้นกิจการที่ได้รับใบอนุญาตใน 6 (1)</v>
      </c>
      <c r="B68" s="27"/>
      <c r="C68" s="27"/>
      <c r="D68" s="28"/>
      <c r="E68" s="8">
        <v>7</v>
      </c>
      <c r="F68" s="8">
        <v>0</v>
      </c>
      <c r="G68" s="8">
        <v>7</v>
      </c>
      <c r="H68" s="8">
        <v>0</v>
      </c>
    </row>
    <row r="69" ht="45" customHeight="1" spans="1:30" x14ac:dyDescent="0.25">
      <c r="A69" s="26" t="str">
        <f>'[1]รายเก่า รายใหม่'!A66</f>
        <v>(4) การเคลือบ ชุบโลหะด้วยตะกั่ว สังกะสี ดีบุก โครเมียม นิกเกิล หรือ โลหะอื่นใด ยกเว้นกิจการที่ได้รับใบอนุญาตใน 6 (1)</v>
      </c>
      <c r="B69" s="27"/>
      <c r="C69" s="27"/>
      <c r="D69" s="28"/>
      <c r="E69" s="8">
        <v>0</v>
      </c>
      <c r="F69" s="8">
        <v>0</v>
      </c>
      <c r="G69" s="8">
        <v>0</v>
      </c>
      <c r="H69" s="8">
        <v>0</v>
      </c>
    </row>
    <row r="70" ht="20.25" customHeight="1" spans="1:30" x14ac:dyDescent="0.25">
      <c r="A70" s="29" t="str">
        <f>'[1]รายเก่า รายใหม่'!A67</f>
        <v>(5) การขัด ล้างโลหะด้วยเครื่องจักร หรือสารเคมี ยกเว้นกิจการที่ได้รับใบอนุญาต ใน 6 (1)</v>
      </c>
      <c r="B70" s="30"/>
      <c r="C70" s="30"/>
      <c r="D70" s="31"/>
      <c r="E70" s="8">
        <v>0</v>
      </c>
      <c r="F70" s="8">
        <v>0</v>
      </c>
      <c r="G70" s="8">
        <v>0</v>
      </c>
      <c r="H70" s="8">
        <v>0</v>
      </c>
    </row>
    <row r="71" ht="20.25" customHeight="1" spans="1:30" x14ac:dyDescent="0.25">
      <c r="A71" s="9" t="str">
        <f>'[1]รายเก่า รายใหม่'!A68</f>
        <v>(6) การทำเหมืองแร่ สะสม แยก คัดเลือก หรือล้างแร่</v>
      </c>
      <c r="B71" s="10"/>
      <c r="C71" s="10"/>
      <c r="D71" s="11"/>
      <c r="E71" s="8">
        <v>0</v>
      </c>
      <c r="F71" s="8">
        <v>0</v>
      </c>
      <c r="G71" s="8">
        <v>0</v>
      </c>
      <c r="H71" s="8">
        <v>0</v>
      </c>
      <c r="I71" s="17"/>
      <c r="J71" s="17"/>
    </row>
    <row r="72" ht="34.5" customHeight="1" spans="1:30" x14ac:dyDescent="0.25">
      <c r="A72" s="23" t="s">
        <v>19</v>
      </c>
      <c r="B72" s="24"/>
      <c r="C72" s="24"/>
      <c r="D72" s="24"/>
      <c r="E72" s="24"/>
      <c r="F72" s="24"/>
      <c r="G72" s="24"/>
      <c r="H72" s="25"/>
    </row>
    <row r="73" ht="20.25" customHeight="1" spans="1:30" x14ac:dyDescent="0.25">
      <c r="A73" s="9" t="str">
        <f>'[1]รายเก่า รายใหม่'!A70</f>
        <v>(1) การต่อ ประกอบ เคาะ ปะผุ พ่นสี หรือพ่นสารกันสนิมยานยนต์</v>
      </c>
      <c r="B73" s="10"/>
      <c r="C73" s="10"/>
      <c r="D73" s="11"/>
      <c r="E73" s="8">
        <v>10</v>
      </c>
      <c r="F73" s="8">
        <v>0</v>
      </c>
      <c r="G73" s="8">
        <v>9</v>
      </c>
      <c r="H73" s="8">
        <v>0</v>
      </c>
    </row>
    <row r="74" ht="20.25" customHeight="1" spans="1:30" x14ac:dyDescent="0.25">
      <c r="A74" s="9" t="str">
        <f>'[1]รายเก่า รายใหม่'!A71</f>
        <v>(2) การผลิตยานยนต์ เครื่องจักร หรือเครื่องกล</v>
      </c>
      <c r="B74" s="10"/>
      <c r="C74" s="10"/>
      <c r="D74" s="11"/>
      <c r="E74" s="8">
        <v>0</v>
      </c>
      <c r="F74" s="8">
        <v>0</v>
      </c>
      <c r="G74" s="8">
        <v>0</v>
      </c>
      <c r="H74" s="8">
        <v>0</v>
      </c>
    </row>
    <row r="75" ht="20.25" customHeight="1" spans="1:30" x14ac:dyDescent="0.25">
      <c r="A75" s="9" t="str">
        <f>'[1]รายเก่า รายใหม่'!A72</f>
        <v>(3) การซ่อม การปรับแต่งเครื่องยนต์ เครื่องจักร เครื่องกล ระบบไฟฟ้า ระบบปรับอากาศ หรืออุปกรณ์ที่เป็นส่วนประกอบของยานยนต์ เครื่องจักร หรือเครื่องกล</v>
      </c>
      <c r="B75" s="10"/>
      <c r="C75" s="10"/>
      <c r="D75" s="11"/>
      <c r="E75" s="8">
        <v>34</v>
      </c>
      <c r="F75" s="8">
        <v>0</v>
      </c>
      <c r="G75" s="8">
        <v>32</v>
      </c>
      <c r="H75" s="8">
        <v>2</v>
      </c>
    </row>
    <row r="76" ht="20.25" customHeight="1" spans="1:30" x14ac:dyDescent="0.25">
      <c r="A76" s="9" t="str">
        <f>'[1]รายเก่า รายใหม่'!A73</f>
        <v>(4) การประกอบธุรกิจเกี่ยวกับยานยนต์ เครื่องจักรหรือเครื่องกล ซึ่งมีไว้บริการ หรือจำหน่าย และในการประกอบธุรกิจนั้นมีการซ่อมหรือปรับปรุงยานยนต์ เครื่องจักรหรือเครื่องกล ดังกล่าวด้วย</v>
      </c>
      <c r="B76" s="10"/>
      <c r="C76" s="10"/>
      <c r="D76" s="11"/>
      <c r="E76" s="8">
        <v>7</v>
      </c>
      <c r="F76" s="8">
        <v>0</v>
      </c>
      <c r="G76" s="8">
        <v>7</v>
      </c>
      <c r="H76" s="8">
        <v>0</v>
      </c>
    </row>
    <row r="77" ht="20.25" customHeight="1" spans="1:30" x14ac:dyDescent="0.25">
      <c r="A77" s="9" t="str">
        <f>'[1]รายเก่า รายใหม่'!A74</f>
        <v>(5) การล้าง ขัดสี เคลือบสี หรืออัดฉีดยานยนต์</v>
      </c>
      <c r="B77" s="10"/>
      <c r="C77" s="10"/>
      <c r="D77" s="11"/>
      <c r="E77" s="8">
        <v>1</v>
      </c>
      <c r="F77" s="8">
        <v>0</v>
      </c>
      <c r="G77" s="8">
        <v>1</v>
      </c>
      <c r="H77" s="8">
        <v>0</v>
      </c>
    </row>
    <row r="78" ht="20.25" customHeight="1" spans="1:30" x14ac:dyDescent="0.25">
      <c r="A78" s="9" t="s">
        <v>20</v>
      </c>
      <c r="B78" s="10"/>
      <c r="C78" s="10"/>
      <c r="D78" s="11"/>
      <c r="E78" s="22">
        <v>1</v>
      </c>
      <c r="F78" s="22">
        <v>0</v>
      </c>
      <c r="G78" s="22">
        <v>1</v>
      </c>
      <c r="H78" s="22">
        <v>0</v>
      </c>
    </row>
    <row r="79" ht="20.25" customHeight="1" spans="1:30" x14ac:dyDescent="0.25">
      <c r="A79" s="9" t="str">
        <f>'[1]รายเก่า รายใหม่'!A76</f>
        <v>(7) การจำหน่าย ซ่อม ปะ เชื่อมยางยานยนต์ หรือตั้งศูนย์ถ่วงล้อ</v>
      </c>
      <c r="B79" s="10"/>
      <c r="C79" s="10"/>
      <c r="D79" s="11"/>
      <c r="E79" s="8">
        <v>11</v>
      </c>
      <c r="F79" s="8">
        <v>0</v>
      </c>
      <c r="G79" s="8">
        <v>9</v>
      </c>
      <c r="H79" s="8">
        <v>4</v>
      </c>
    </row>
    <row r="80" ht="20.25" customHeight="1" spans="1:30" x14ac:dyDescent="0.25">
      <c r="A80" s="9" t="str">
        <f>'[1]รายเก่า รายใหม่'!A77</f>
        <v>(8) การผลิต ซ่อม ประกอบ หรืออัดผ้าเบรก ผ้าคลัตช์</v>
      </c>
      <c r="B80" s="10"/>
      <c r="C80" s="10"/>
      <c r="D80" s="11"/>
      <c r="E80" s="8">
        <v>0</v>
      </c>
      <c r="F80" s="8">
        <v>0</v>
      </c>
      <c r="G80" s="8">
        <v>0</v>
      </c>
      <c r="H80" s="8">
        <v>0</v>
      </c>
    </row>
    <row r="81" ht="20.25" customHeight="1" spans="1:30" x14ac:dyDescent="0.25">
      <c r="A81" s="9" t="str">
        <f>'[1]รายเก่า รายใหม่'!A78</f>
        <v>(9) การสะสม การซ่อมเครื่องกล เครื่องจักรเก่าหรืออุปกรณ์ที่เป็นส่วนประกอบ ของยานยนต์ เครื่องจักร หรือเครื่องกลเก่า</v>
      </c>
      <c r="B81" s="10"/>
      <c r="C81" s="10"/>
      <c r="D81" s="11"/>
      <c r="E81" s="8">
        <v>0</v>
      </c>
      <c r="F81" s="8">
        <v>0</v>
      </c>
      <c r="G81" s="8">
        <v>0</v>
      </c>
      <c r="H81" s="8">
        <v>0</v>
      </c>
      <c r="I81" s="17"/>
      <c r="J81" s="17"/>
      <c r="L81" s="32"/>
    </row>
    <row r="82" ht="27.75" customHeight="1" spans="1:30" x14ac:dyDescent="0.25">
      <c r="A82" s="23" t="str">
        <f>'[1]รายเก่า รายใหม่'!A79</f>
        <v>8.กิจการที่เกี่ยวกับไม้หรือกระดาษ</v>
      </c>
      <c r="B82" s="24"/>
      <c r="C82" s="24"/>
      <c r="D82" s="24"/>
      <c r="E82" s="24"/>
      <c r="F82" s="24"/>
      <c r="G82" s="24"/>
      <c r="H82" s="25"/>
    </row>
    <row r="83" ht="20.25" customHeight="1" spans="1:30" x14ac:dyDescent="0.25">
      <c r="A83" s="9" t="str">
        <f>'[1]รายเก่า รายใหม่'!A80</f>
        <v>(1) การผลิตไม้ขีดไฟ</v>
      </c>
      <c r="B83" s="10"/>
      <c r="C83" s="10"/>
      <c r="D83" s="11"/>
      <c r="E83" s="8">
        <v>0</v>
      </c>
      <c r="F83" s="8">
        <v>0</v>
      </c>
      <c r="G83" s="8">
        <v>0</v>
      </c>
      <c r="H83" s="8">
        <v>0</v>
      </c>
    </row>
    <row r="84" ht="20.25" customHeight="1" spans="1:30" x14ac:dyDescent="0.25">
      <c r="A84" s="9" t="str">
        <f>'[1]รายเก่า รายใหม่'!A81</f>
        <v>(2) การเลื่อย ซอย ขัด ไส เจาะ ขุดร่อง ทำคิ้ว หรือตัดไม้ด้วยเครื่องจักร</v>
      </c>
      <c r="B84" s="10"/>
      <c r="C84" s="10"/>
      <c r="D84" s="11"/>
      <c r="E84" s="8">
        <v>0</v>
      </c>
      <c r="F84" s="8">
        <v>0</v>
      </c>
      <c r="G84" s="8">
        <v>0</v>
      </c>
      <c r="H84" s="8">
        <v>0</v>
      </c>
    </row>
    <row r="85" ht="20.25" customHeight="1" spans="1:30" x14ac:dyDescent="0.25">
      <c r="A85" s="9" t="str">
        <f>'[1]รายเก่า รายใหม่'!A82</f>
        <v>(3) การผลิต พ่น ทาสารเคลือบเงา หรือสี แต่งสำเร็จสิ่งของเครื่องใช้ หรือผลิตภัณฑ์จากไม้ หวาย ชานอ้อย</v>
      </c>
      <c r="B85" s="10"/>
      <c r="C85" s="10"/>
      <c r="D85" s="11"/>
      <c r="E85" s="8">
        <v>0</v>
      </c>
      <c r="F85" s="8">
        <v>0</v>
      </c>
      <c r="G85" s="8">
        <v>0</v>
      </c>
      <c r="H85" s="8">
        <v>0</v>
      </c>
    </row>
    <row r="86" ht="20.25" customHeight="1" spans="1:30" x14ac:dyDescent="0.25">
      <c r="A86" s="9" t="str">
        <f>'[1]รายเก่า รายใหม่'!A83</f>
        <v>(4) การอบไม้</v>
      </c>
      <c r="B86" s="10"/>
      <c r="C86" s="10"/>
      <c r="D86" s="11"/>
      <c r="E86" s="8">
        <v>0</v>
      </c>
      <c r="F86" s="8">
        <v>0</v>
      </c>
      <c r="G86" s="8">
        <v>0</v>
      </c>
      <c r="H86" s="8">
        <v>0</v>
      </c>
    </row>
    <row r="87" ht="20.25" customHeight="1" spans="1:30" x14ac:dyDescent="0.25">
      <c r="A87" s="9" t="str">
        <f>'[1]รายเก่า รายใหม่'!A84</f>
        <v>(5) การผลิต สะสม แบ่งบรรจุธูป</v>
      </c>
      <c r="B87" s="10"/>
      <c r="C87" s="10"/>
      <c r="D87" s="11"/>
      <c r="E87" s="8">
        <v>0</v>
      </c>
      <c r="F87" s="8">
        <v>0</v>
      </c>
      <c r="G87" s="8">
        <v>0</v>
      </c>
      <c r="H87" s="8">
        <v>0</v>
      </c>
    </row>
    <row r="88" ht="20.25" customHeight="1" spans="1:30" x14ac:dyDescent="0.25">
      <c r="A88" s="9" t="str">
        <f>'[1]รายเก่า รายใหม่'!A85</f>
        <v>(6) การผลิตสิ่งของ เครื่องใช้ เครื่องเขียน หรือผลิตภัณฑ์อื่นใดด้วยกระดาษ</v>
      </c>
      <c r="B88" s="10"/>
      <c r="C88" s="10"/>
      <c r="D88" s="11"/>
      <c r="E88" s="8">
        <v>0</v>
      </c>
      <c r="F88" s="8">
        <v>0</v>
      </c>
      <c r="G88" s="8">
        <v>0</v>
      </c>
      <c r="H88" s="8">
        <v>0</v>
      </c>
    </row>
    <row r="89" ht="20.25" customHeight="1" spans="1:30" x14ac:dyDescent="0.25">
      <c r="A89" s="3" t="s">
        <v>1</v>
      </c>
      <c r="B89" s="3"/>
      <c r="C89" s="3"/>
      <c r="D89" s="3"/>
      <c r="E89" s="3" t="s">
        <v>2</v>
      </c>
      <c r="F89" s="3"/>
      <c r="G89" s="3"/>
      <c r="H89" s="3"/>
    </row>
    <row r="90" ht="20.25" customHeight="1" spans="1:30" x14ac:dyDescent="0.25">
      <c r="A90" s="3"/>
      <c r="B90" s="3"/>
      <c r="C90" s="3"/>
      <c r="D90" s="3"/>
      <c r="E90" s="3" t="s">
        <v>3</v>
      </c>
      <c r="F90" s="3" t="s">
        <v>4</v>
      </c>
      <c r="G90" s="3" t="s">
        <v>5</v>
      </c>
      <c r="H90" s="3" t="s">
        <v>6</v>
      </c>
    </row>
    <row r="91" ht="20.25" customHeight="1" spans="1:30" x14ac:dyDescent="0.25">
      <c r="A91" s="9" t="str">
        <f>'[1]รายเก่า รายใหม่'!A86</f>
        <v>(7) การผลิตกระดาษชนิดต่าง ๆ</v>
      </c>
      <c r="B91" s="10"/>
      <c r="C91" s="10"/>
      <c r="D91" s="11"/>
      <c r="E91" s="8">
        <v>1</v>
      </c>
      <c r="F91" s="8">
        <v>0</v>
      </c>
      <c r="G91" s="8">
        <v>1</v>
      </c>
      <c r="H91" s="8">
        <v>0</v>
      </c>
    </row>
    <row r="92" ht="20.25" customHeight="1" spans="1:30" x14ac:dyDescent="0.25">
      <c r="A92" s="9" t="str">
        <f>'[1]รายเก่า รายใหม่'!A87</f>
        <v>(8) การเผาถ่าน หรือสะสมถ่าน</v>
      </c>
      <c r="B92" s="10"/>
      <c r="C92" s="10"/>
      <c r="D92" s="11"/>
      <c r="E92" s="8">
        <v>1</v>
      </c>
      <c r="F92" s="8">
        <v>0</v>
      </c>
      <c r="G92" s="8">
        <v>1</v>
      </c>
      <c r="H92" s="8">
        <v>0</v>
      </c>
      <c r="I92" s="17"/>
      <c r="J92" s="17"/>
    </row>
    <row r="93" ht="29.25" customHeight="1" spans="1:30" x14ac:dyDescent="0.25">
      <c r="A93" s="23" t="str">
        <f>'[1]รายเก่า รายใหม่'!A88</f>
        <v>9.กิจการที่เกี่ยวกับการบริการ</v>
      </c>
      <c r="B93" s="24"/>
      <c r="C93" s="24"/>
      <c r="D93" s="24"/>
      <c r="E93" s="24"/>
      <c r="F93" s="24"/>
      <c r="G93" s="24"/>
      <c r="H93" s="25"/>
    </row>
    <row r="94" ht="42.75" customHeight="1" spans="1:30" x14ac:dyDescent="0.25">
      <c r="A94" s="26" t="str">
        <f>'[1]รายเก่า รายใหม่'!A89</f>
        <v>(1) การประกอบกิจการสปาเพื่อสุขภาพ เว้นแต่เป็นการให้บริการในสถานพยาบาล ตามกฎหมายว่าด้วยสถานพยาบาล</v>
      </c>
      <c r="B94" s="27"/>
      <c r="C94" s="27"/>
      <c r="D94" s="28"/>
      <c r="E94" s="8">
        <v>0</v>
      </c>
      <c r="F94" s="8">
        <v>0</v>
      </c>
      <c r="G94" s="8">
        <v>0</v>
      </c>
      <c r="H94" s="8">
        <v>0</v>
      </c>
    </row>
    <row r="95" ht="24" customHeight="1" spans="1:30" x14ac:dyDescent="0.25">
      <c r="A95" s="9" t="str">
        <f>'[1]รายเก่า รายใหม่'!A90</f>
        <v>(2) การประกอบกิจการอาบ อบ นวด</v>
      </c>
      <c r="B95" s="10"/>
      <c r="C95" s="10"/>
      <c r="D95" s="11"/>
      <c r="E95" s="8">
        <v>0</v>
      </c>
      <c r="F95" s="8">
        <v>0</v>
      </c>
      <c r="G95" s="8">
        <v>0</v>
      </c>
      <c r="H95" s="8">
        <v>0</v>
      </c>
    </row>
    <row r="96" ht="47.25" customHeight="1" spans="1:30" x14ac:dyDescent="0.25">
      <c r="A96" s="26" t="str">
        <f>'[1]รายเก่า รายใหม่'!A91</f>
        <v>(3) การประกอบกิจการนวดเพื่อสุขภาพ เว้นแต่เป็นการให้บริการที่ได้รับใบอนุญาตใน 9 (1) หรือในสถานพยาบาลตามกฎหมายว่าด้วยสถานพยาบาล</v>
      </c>
      <c r="B96" s="27"/>
      <c r="C96" s="27"/>
      <c r="D96" s="28"/>
      <c r="E96" s="8">
        <v>0</v>
      </c>
      <c r="F96" s="8">
        <v>0</v>
      </c>
      <c r="G96" s="8">
        <v>0</v>
      </c>
      <c r="H96" s="8">
        <v>0</v>
      </c>
    </row>
    <row r="97" ht="60" customHeight="1" spans="1:30" x14ac:dyDescent="0.25">
      <c r="A97" s="26" t="str">
        <f>'[1]รายเก่า รายใหม่'!A92</f>
        <v>(4) การประกอบกิจการสถานที่อาบน้ำ อบไอน้ำ อบสมุนไพร เว้นแต่เป็น การให้บริการที่ได้รับใบอนุญาตใน 9 (1) หรือในสถานพยาบาลตามกฎหมายว่าด้วยสถานพยาบาล</v>
      </c>
      <c r="B97" s="27"/>
      <c r="C97" s="27"/>
      <c r="D97" s="28"/>
      <c r="E97" s="8">
        <v>0</v>
      </c>
      <c r="F97" s="8">
        <v>0</v>
      </c>
      <c r="G97" s="8">
        <v>0</v>
      </c>
      <c r="H97" s="8">
        <v>0</v>
      </c>
    </row>
    <row r="98" ht="63.75" customHeight="1" spans="1:30" x14ac:dyDescent="0.25">
      <c r="A98" s="26" t="str">
        <f>'[1]รายเก่า รายใหม่'!A93</f>
        <v>(5) การประกอบกิจการโรงแรม สถานที่พักที่มิใช่โรงแรมที่จัดไว้เพื่อให้บริการ พักชั่วคราวสำหรับคนเดินทางหรือบุคคลอื่นใดโดยมีค่าตอบแทน หรือกิจการอื่นในทำนองเดียวกัน</v>
      </c>
      <c r="B98" s="27"/>
      <c r="C98" s="27"/>
      <c r="D98" s="28"/>
      <c r="E98" s="8">
        <v>1</v>
      </c>
      <c r="F98" s="8">
        <v>0</v>
      </c>
      <c r="G98" s="8">
        <v>1</v>
      </c>
      <c r="H98" s="8">
        <v>0</v>
      </c>
    </row>
    <row r="99" ht="44.25" customHeight="1" spans="1:30" x14ac:dyDescent="0.25">
      <c r="A99" s="26" t="str">
        <f>'[1]รายเก่า รายใหม่'!A94</f>
        <v>(6) การประกอบกิจการหอพัก อาคารชุดให้เช่า ห้องเช่า หรือห้องแบ่งเช่า หรือกิจการอื่นในทำนองเดียวกัน</v>
      </c>
      <c r="B99" s="27"/>
      <c r="C99" s="27"/>
      <c r="D99" s="28"/>
      <c r="E99" s="8">
        <v>40</v>
      </c>
      <c r="F99" s="8">
        <v>3</v>
      </c>
      <c r="G99" s="8">
        <v>33</v>
      </c>
      <c r="H99" s="8">
        <v>4</v>
      </c>
    </row>
    <row r="100" ht="24.75" customHeight="1" spans="1:30" x14ac:dyDescent="0.25">
      <c r="A100" s="9" t="str">
        <f>'[1]รายเก่า รายใหม่'!A95</f>
        <v>(7) การประกอบกิจการโรงมหรสพ</v>
      </c>
      <c r="B100" s="10"/>
      <c r="C100" s="10"/>
      <c r="D100" s="11"/>
      <c r="E100" s="8">
        <v>0</v>
      </c>
      <c r="F100" s="8">
        <v>0</v>
      </c>
      <c r="G100" s="8">
        <v>0</v>
      </c>
      <c r="H100" s="8">
        <v>0</v>
      </c>
    </row>
    <row r="101" ht="44.25" customHeight="1" spans="1:30" x14ac:dyDescent="0.25">
      <c r="A101" s="26" t="str">
        <f>'[1]รายเก่า รายใหม่'!A96</f>
        <v>(8) การจัดให้มีมหรสพ การแสดงดนตรี เต้นรำ รำวง รองเง็ง ดิสโกเทก คาราโอเกะ หรือตู้เพลง หรือการแสดงอื่น ๆ ในทำนองเดียวกัน</v>
      </c>
      <c r="B101" s="27"/>
      <c r="C101" s="27"/>
      <c r="D101" s="28"/>
      <c r="E101" s="8">
        <v>2</v>
      </c>
      <c r="F101" s="8">
        <v>0</v>
      </c>
      <c r="G101" s="8">
        <v>1</v>
      </c>
      <c r="H101" s="8">
        <v>0</v>
      </c>
    </row>
    <row r="102" ht="43.5" customHeight="1" spans="1:30" x14ac:dyDescent="0.25">
      <c r="A102" s="26" t="str">
        <f>'[1]รายเก่า รายใหม่'!A97</f>
        <v>(9) การประกอบกิจการสระว่ายน้ำ หรือกิจการอื่น ๆ ในทำนองเดียวกัน เว้นแต่ เป็นการให้บริการที่ได้รับใบอนุญาตใน 9 (1)</v>
      </c>
      <c r="B102" s="27"/>
      <c r="C102" s="27"/>
      <c r="D102" s="28"/>
      <c r="E102" s="8">
        <v>0</v>
      </c>
      <c r="F102" s="8">
        <v>0</v>
      </c>
      <c r="G102" s="8">
        <v>0</v>
      </c>
      <c r="H102" s="8">
        <v>0</v>
      </c>
    </row>
    <row r="103" ht="41.25" customHeight="1" spans="1:30" x14ac:dyDescent="0.25">
      <c r="A103" s="26" t="str">
        <f>'[1]รายเก่า รายใหม่'!A98</f>
        <v>(10) การประกอบกิจการการเล่นสเกต หรือโรลเลอร์เบลด หรือการเล่นอื่น ๆในทำนองเดียวกัน</v>
      </c>
      <c r="B103" s="27"/>
      <c r="C103" s="27"/>
      <c r="D103" s="28"/>
      <c r="E103" s="8">
        <v>0</v>
      </c>
      <c r="F103" s="8">
        <v>0</v>
      </c>
      <c r="G103" s="8">
        <v>0</v>
      </c>
      <c r="H103" s="8">
        <v>0</v>
      </c>
    </row>
    <row r="104" ht="40.5" customHeight="1" spans="1:30" x14ac:dyDescent="0.25">
      <c r="A104" s="26" t="str">
        <f>'[1]รายเก่า รายใหม่'!A99</f>
        <v>(11) การประกอบกิจการเสริมสวย หรือแต่งผมเว้นแต่กิจการที่อยู่ในบังคับตามกฎหมายว่าด้วยการประกอบวิชาชีพเวชกรรม</v>
      </c>
      <c r="B104" s="27"/>
      <c r="C104" s="27"/>
      <c r="D104" s="28"/>
      <c r="E104" s="8">
        <v>43</v>
      </c>
      <c r="F104" s="8">
        <v>3</v>
      </c>
      <c r="G104" s="8">
        <v>39</v>
      </c>
      <c r="H104" s="8">
        <v>16</v>
      </c>
    </row>
    <row r="105" ht="20.25" customHeight="1" spans="1:30" x14ac:dyDescent="0.25">
      <c r="A105" s="9" t="str">
        <f>'[1]รายเก่า รายใหม่'!A100</f>
        <v>(12) การประกอบกิจการสถานที่ออกกำลังกาย</v>
      </c>
      <c r="B105" s="10"/>
      <c r="C105" s="10"/>
      <c r="D105" s="11"/>
      <c r="E105" s="8">
        <v>0</v>
      </c>
      <c r="F105" s="8">
        <v>0</v>
      </c>
      <c r="G105" s="8">
        <v>0</v>
      </c>
      <c r="H105" s="8">
        <v>1</v>
      </c>
    </row>
    <row r="106" ht="20.25" customHeight="1" spans="1:30" x14ac:dyDescent="0.25">
      <c r="A106" s="9" t="str">
        <f>'[1]รายเก่า รายใหม่'!A101</f>
        <v>(13) การประกอบกิจการให้บริการควบคุมน้ำหนัก</v>
      </c>
      <c r="B106" s="10"/>
      <c r="C106" s="10"/>
      <c r="D106" s="11"/>
      <c r="E106" s="8">
        <v>0</v>
      </c>
      <c r="F106" s="8">
        <v>0</v>
      </c>
      <c r="G106" s="8">
        <v>0</v>
      </c>
      <c r="H106" s="17">
        <v>0</v>
      </c>
    </row>
    <row r="107" ht="20.25" customHeight="1" spans="1:30" x14ac:dyDescent="0.25">
      <c r="A107" s="9" t="str">
        <f>'[1]รายเก่า รายใหม่'!A102</f>
        <v>(14) การประกอบกิจการสวนสนุก โบว์ลิ่ง หรือตู้เกม</v>
      </c>
      <c r="B107" s="10"/>
      <c r="C107" s="10"/>
      <c r="D107" s="11"/>
      <c r="E107" s="8">
        <v>0</v>
      </c>
      <c r="F107" s="8">
        <v>0</v>
      </c>
      <c r="G107" s="8">
        <v>0</v>
      </c>
      <c r="H107" s="8">
        <v>0</v>
      </c>
    </row>
    <row r="108" ht="20.25" customHeight="1" spans="1:30" x14ac:dyDescent="0.25">
      <c r="A108" s="9" t="str">
        <f>'[1]รายเก่า รายใหม่'!A103</f>
        <v>(15) การประกอบกิจการให้บริการคอมพิวเตอร์</v>
      </c>
      <c r="B108" s="10"/>
      <c r="C108" s="10"/>
      <c r="D108" s="11"/>
      <c r="E108" s="8">
        <v>0</v>
      </c>
      <c r="F108" s="8">
        <v>0</v>
      </c>
      <c r="G108" s="8">
        <v>0</v>
      </c>
      <c r="H108" s="8">
        <v>0</v>
      </c>
    </row>
    <row r="109" ht="20.25" customHeight="1" spans="1:30" x14ac:dyDescent="0.25">
      <c r="A109" s="9" t="str">
        <f>'[1]รายเก่า รายใหม่'!A104</f>
        <v>(16) การประกอบกิจการสนามกอล์ฟ หรือสนามฝึกซ้อมกอล์ฟ</v>
      </c>
      <c r="B109" s="10"/>
      <c r="C109" s="10"/>
      <c r="D109" s="11"/>
      <c r="E109" s="8">
        <v>0</v>
      </c>
      <c r="F109" s="8">
        <v>0</v>
      </c>
      <c r="G109" s="8">
        <v>0</v>
      </c>
      <c r="H109" s="8">
        <v>0</v>
      </c>
    </row>
    <row r="110" ht="42" customHeight="1" spans="1:30" x14ac:dyDescent="0.25">
      <c r="A110" s="26" t="str">
        <f>'[1]รายเก่า รายใหม่'!A105</f>
        <v>(17) การประกอบกิจการห้องปฏิบัติการทางการแพทย์ การสาธารณสุข วิทยาศาสตร์หรือสิ่งแวดล้อม</v>
      </c>
      <c r="B110" s="27"/>
      <c r="C110" s="27"/>
      <c r="D110" s="28"/>
      <c r="E110" s="8">
        <v>0</v>
      </c>
      <c r="F110" s="8">
        <v>0</v>
      </c>
      <c r="G110" s="8">
        <v>0</v>
      </c>
      <c r="H110" s="8">
        <v>0</v>
      </c>
    </row>
    <row r="111" ht="20.25" customHeight="1" spans="1:30" x14ac:dyDescent="0.25">
      <c r="A111" s="9" t="str">
        <f>'[1]รายเก่า รายใหม่'!A106</f>
        <v>(18) การประกอบกิจการสักผิวหนัง หรือเจาะส่วนหนึ่งส่วนใดของร่างกาย</v>
      </c>
      <c r="B111" s="10"/>
      <c r="C111" s="10"/>
      <c r="D111" s="11"/>
      <c r="E111" s="8">
        <v>6</v>
      </c>
      <c r="F111" s="8">
        <v>0</v>
      </c>
      <c r="G111" s="8">
        <v>5</v>
      </c>
      <c r="H111" s="8">
        <v>1</v>
      </c>
    </row>
    <row r="112" ht="20.25" customHeight="1" spans="1:30" x14ac:dyDescent="0.25">
      <c r="A112" s="9" t="str">
        <f>'[1]รายเก่า รายใหม่'!A107</f>
        <v>(19) การประกอบกิจการให้บริการเลี้ยงและดูแลเด็กที่บ้านของผู้รับบริการ</v>
      </c>
      <c r="B112" s="10"/>
      <c r="C112" s="10"/>
      <c r="D112" s="11"/>
      <c r="E112" s="8">
        <v>0</v>
      </c>
      <c r="F112" s="8">
        <v>0</v>
      </c>
      <c r="G112" s="8">
        <v>0</v>
      </c>
      <c r="H112" s="8">
        <v>0</v>
      </c>
      <c r="I112" s="17"/>
      <c r="J112" s="17"/>
      <c r="K112" s="17"/>
      <c r="L112" s="17"/>
    </row>
    <row r="113" ht="20.25" customHeight="1" spans="1:30" x14ac:dyDescent="0.25">
      <c r="A113" s="3" t="s">
        <v>1</v>
      </c>
      <c r="B113" s="3"/>
      <c r="C113" s="3"/>
      <c r="D113" s="3"/>
      <c r="E113" s="3" t="s">
        <v>2</v>
      </c>
      <c r="F113" s="3"/>
      <c r="G113" s="3"/>
      <c r="H113" s="3"/>
    </row>
    <row r="114" ht="20.25" customHeight="1" spans="1:30" x14ac:dyDescent="0.25">
      <c r="A114" s="3"/>
      <c r="B114" s="3"/>
      <c r="C114" s="3"/>
      <c r="D114" s="3"/>
      <c r="E114" s="3" t="s">
        <v>3</v>
      </c>
      <c r="F114" s="3" t="s">
        <v>4</v>
      </c>
      <c r="G114" s="3" t="s">
        <v>5</v>
      </c>
      <c r="H114" s="3" t="s">
        <v>6</v>
      </c>
    </row>
    <row r="115" ht="20.25" customHeight="1" spans="1:30" x14ac:dyDescent="0.25">
      <c r="A115" s="9" t="str">
        <f>'[1]รายเก่า รายใหม่'!A108</f>
        <v>(20) การประกอบกิจการให้บริการดูแลผู้สูงอายุที่บ้านของผู้รับบริการ</v>
      </c>
      <c r="B115" s="10"/>
      <c r="C115" s="10"/>
      <c r="D115" s="11"/>
      <c r="E115" s="8">
        <v>0</v>
      </c>
      <c r="F115" s="8">
        <v>0</v>
      </c>
      <c r="G115" s="8">
        <v>0</v>
      </c>
      <c r="H115" s="8">
        <v>0</v>
      </c>
    </row>
    <row r="116" ht="44.25" customHeight="1" spans="1:30" x14ac:dyDescent="0.25">
      <c r="A116" s="26" t="str">
        <f>'[1]รายเก่า รายใหม่'!A109</f>
        <v>(21) การประกอบกิจการให้บริการสปา อาบน้ำ ตัดขน รับเลี้ยงหรือรับฝากสัตว์ชั่วคราว</v>
      </c>
      <c r="B116" s="27"/>
      <c r="C116" s="27"/>
      <c r="D116" s="28"/>
      <c r="E116" s="8">
        <v>0</v>
      </c>
      <c r="F116" s="8">
        <v>0</v>
      </c>
      <c r="G116" s="8">
        <v>0</v>
      </c>
      <c r="H116" s="8">
        <v>0</v>
      </c>
    </row>
    <row r="117" ht="29.25" customHeight="1" spans="1:30" x14ac:dyDescent="0.25">
      <c r="A117" s="23" t="str">
        <f>'[1]รายเก่า รายใหม่'!A110</f>
        <v>10.กิจการที่เกี่ยวกับสิ่งทอ</v>
      </c>
      <c r="B117" s="24"/>
      <c r="C117" s="24"/>
      <c r="D117" s="24"/>
      <c r="E117" s="24"/>
      <c r="F117" s="24"/>
      <c r="G117" s="24"/>
      <c r="H117" s="25"/>
    </row>
    <row r="118" ht="20.25" customHeight="1" spans="1:30" x14ac:dyDescent="0.25">
      <c r="A118" s="9" t="str">
        <f>'[1]รายเก่า รายใหม่'!A111</f>
        <v>(1) การปั่นด้าย กรอด้าย ทอผ้าด้วยเครื่องจักร หรือทอผ้าด้วยกี่กระตุก</v>
      </c>
      <c r="B118" s="10"/>
      <c r="C118" s="10"/>
      <c r="D118" s="11"/>
      <c r="E118" s="8">
        <v>0</v>
      </c>
      <c r="F118" s="8">
        <v>0</v>
      </c>
      <c r="G118" s="8">
        <v>0</v>
      </c>
      <c r="H118" s="8">
        <v>0</v>
      </c>
    </row>
    <row r="119" ht="20.25" customHeight="1" spans="1:30" x14ac:dyDescent="0.25">
      <c r="A119" s="9" t="str">
        <f>'[1]รายเก่า รายใหม่'!A112</f>
        <v>(2) การสะสมปอ ป่าน ฝ้าย นุ่น หรือใยสังเคราะห์</v>
      </c>
      <c r="B119" s="10"/>
      <c r="C119" s="10"/>
      <c r="D119" s="11"/>
      <c r="E119" s="8">
        <v>0</v>
      </c>
      <c r="F119" s="8">
        <v>0</v>
      </c>
      <c r="G119" s="8">
        <v>0</v>
      </c>
      <c r="H119" s="8">
        <v>0</v>
      </c>
    </row>
    <row r="120" ht="20.25" customHeight="1" spans="1:30" x14ac:dyDescent="0.25">
      <c r="A120" s="9" t="str">
        <f>'[1]รายเก่า รายใหม่'!A113</f>
        <v>(3) การปั่นฝ้าย นุ่น ใยสังเคราะห์ด้วยเครื่องจักร</v>
      </c>
      <c r="B120" s="10"/>
      <c r="C120" s="10"/>
      <c r="D120" s="11"/>
      <c r="E120" s="8">
        <v>0</v>
      </c>
      <c r="F120" s="8">
        <v>0</v>
      </c>
      <c r="G120" s="8">
        <v>0</v>
      </c>
      <c r="H120" s="8">
        <v>0</v>
      </c>
    </row>
    <row r="121" ht="20.25" customHeight="1" spans="1:30" x14ac:dyDescent="0.25">
      <c r="A121" s="9" t="str">
        <f>'[1]รายเก่า รายใหม่'!A114</f>
        <v>(4) การทอเสื่อ กระสอบ พรม หรือสิ่งทออื่น ๆ ด้วยเครื่องจักร</v>
      </c>
      <c r="B121" s="10"/>
      <c r="C121" s="10"/>
      <c r="D121" s="11"/>
      <c r="E121" s="8">
        <v>0</v>
      </c>
      <c r="F121" s="8">
        <v>0</v>
      </c>
      <c r="G121" s="8">
        <v>0</v>
      </c>
      <c r="H121" s="8">
        <v>0</v>
      </c>
    </row>
    <row r="122" ht="20.25" customHeight="1" spans="1:30" x14ac:dyDescent="0.25">
      <c r="A122" s="9" t="str">
        <f>'[1]รายเก่า รายใหม่'!A115</f>
        <v>(5) การเย็บ ปักผ้า หรือสิ่งทออื่น ๆ ด้วยเครื่องจักร</v>
      </c>
      <c r="B122" s="10"/>
      <c r="C122" s="10"/>
      <c r="D122" s="11"/>
      <c r="E122" s="8">
        <v>3</v>
      </c>
      <c r="F122" s="8">
        <v>0</v>
      </c>
      <c r="G122" s="8">
        <v>3</v>
      </c>
      <c r="H122" s="8">
        <v>0</v>
      </c>
    </row>
    <row r="123" ht="20.25" customHeight="1" spans="1:30" x14ac:dyDescent="0.25">
      <c r="A123" s="9" t="str">
        <f>'[1]รายเก่า รายใหม่'!A116</f>
        <v>(6) การพิมพ์ผ้า และสิ่งทออื่น ๆ</v>
      </c>
      <c r="B123" s="10"/>
      <c r="C123" s="10"/>
      <c r="D123" s="11"/>
      <c r="E123" s="8">
        <v>0</v>
      </c>
      <c r="F123" s="8">
        <v>0</v>
      </c>
      <c r="G123" s="8">
        <v>0</v>
      </c>
      <c r="H123" s="8">
        <v>0</v>
      </c>
    </row>
    <row r="124" ht="20.25" customHeight="1" spans="1:30" x14ac:dyDescent="0.25">
      <c r="A124" s="9" t="str">
        <f>'[1]รายเก่า รายใหม่'!A117</f>
        <v>(7) การซัก อบ รีด หรืออัดกลีบผ้าด้วยเครื่องจักร</v>
      </c>
      <c r="B124" s="10"/>
      <c r="C124" s="10"/>
      <c r="D124" s="11"/>
      <c r="E124" s="22">
        <v>8</v>
      </c>
      <c r="F124" s="22">
        <v>1</v>
      </c>
      <c r="G124" s="22">
        <v>6</v>
      </c>
      <c r="H124" s="22">
        <v>2</v>
      </c>
    </row>
    <row r="125" ht="20.25" customHeight="1" spans="1:30" x14ac:dyDescent="0.25">
      <c r="A125" s="9" t="str">
        <f>'[1]รายเก่า รายใหม่'!A118</f>
        <v>(8) การย้อม ฟอก กัดสีผ้าหรือสิ่งทออื่น ๆ</v>
      </c>
      <c r="B125" s="10"/>
      <c r="C125" s="10"/>
      <c r="D125" s="11"/>
      <c r="E125" s="8">
        <v>0</v>
      </c>
      <c r="F125" s="8">
        <v>0</v>
      </c>
      <c r="G125" s="8">
        <v>0</v>
      </c>
      <c r="H125" s="8">
        <v>0</v>
      </c>
      <c r="I125" s="17"/>
      <c r="J125" s="17"/>
      <c r="K125" s="17"/>
      <c r="L125" s="17"/>
    </row>
    <row r="126" ht="31.5" customHeight="1" spans="1:30" x14ac:dyDescent="0.25">
      <c r="A126" s="23" t="str">
        <f>'[1]รายเก่า รายใหม่'!A119</f>
        <v>11.กิจการที่เกี่ยวกับหิน ดิน ทราย ซีเมนต์ หรือวัตถุที่คล้ายคลึง</v>
      </c>
      <c r="B126" s="24"/>
      <c r="C126" s="24"/>
      <c r="D126" s="24"/>
      <c r="E126" s="24"/>
      <c r="F126" s="24"/>
      <c r="G126" s="24"/>
      <c r="H126" s="25"/>
    </row>
    <row r="127" ht="20.25" customHeight="1" spans="1:30" x14ac:dyDescent="0.25">
      <c r="A127" s="9" t="str">
        <f>'[1]รายเก่า รายใหม่'!A120</f>
        <v>(1) การผลิตภาชนะดินเผาหรือผลิตภัณฑ์ดินเผา</v>
      </c>
      <c r="B127" s="10"/>
      <c r="C127" s="10"/>
      <c r="D127" s="11"/>
      <c r="E127" s="8">
        <v>0</v>
      </c>
      <c r="F127" s="8">
        <v>0</v>
      </c>
      <c r="G127" s="8">
        <v>0</v>
      </c>
      <c r="H127" s="8">
        <v>0</v>
      </c>
    </row>
    <row r="128" ht="20.25" customHeight="1" spans="1:30" x14ac:dyDescent="0.25">
      <c r="A128" s="9" t="str">
        <f>'[1]รายเก่า รายใหม่'!A121</f>
        <v>(2) การระเบิด โม่ บด หรือย่อยหิน ด้วยเครื่องจักร</v>
      </c>
      <c r="B128" s="10"/>
      <c r="C128" s="10"/>
      <c r="D128" s="11"/>
      <c r="E128" s="22">
        <v>0</v>
      </c>
      <c r="F128" s="22">
        <v>0</v>
      </c>
      <c r="G128" s="22">
        <v>0</v>
      </c>
      <c r="H128" s="22">
        <v>0</v>
      </c>
    </row>
    <row r="129" ht="20.25" customHeight="1" spans="1:30" x14ac:dyDescent="0.25">
      <c r="A129" s="9" t="str">
        <f>'[1]รายเก่า รายใหม่'!A122</f>
        <v>(3) การผลิตสิ่งของ เครื่องใช้หรือผลิตภัณฑ์อื่น ๆ ด้วยซีเมนต์ หรือวัตถุที่คล้ายคลึง</v>
      </c>
      <c r="B129" s="10"/>
      <c r="C129" s="10"/>
      <c r="D129" s="11"/>
      <c r="E129" s="8">
        <v>1</v>
      </c>
      <c r="F129" s="8">
        <v>0</v>
      </c>
      <c r="G129" s="8">
        <v>1</v>
      </c>
      <c r="H129" s="8">
        <v>0</v>
      </c>
    </row>
    <row r="130" ht="45.75" customHeight="1" spans="1:30" x14ac:dyDescent="0.25">
      <c r="A130" s="26" t="str">
        <f>'[1]รายเก่า รายใหม่'!A123</f>
        <v>(4) การสะสม ผสมซีเมนต์ หิน ดิน ทราย วัสดุก่อสร้าง รวมทั้งการขุด ตัก ดูด โม่ บด หรือย่อย ด้วยเครื่องจักร ยกเว้นกิจการที่ได้รับใบอนุญาตใน 11 (2)</v>
      </c>
      <c r="B130" s="27"/>
      <c r="C130" s="27"/>
      <c r="D130" s="28"/>
      <c r="E130" s="8">
        <v>17</v>
      </c>
      <c r="F130" s="8">
        <v>0</v>
      </c>
      <c r="G130" s="8">
        <v>17</v>
      </c>
      <c r="H130" s="8">
        <v>0</v>
      </c>
    </row>
    <row r="131" ht="20.25" customHeight="1" spans="1:30" x14ac:dyDescent="0.25">
      <c r="A131" s="9" t="str">
        <f>'[1]รายเก่า รายใหม่'!A124</f>
        <v>(5) การเจียระไนเพชร พลอย หิน หรือกระจก หรือวัตถุที่คล้ายคลึง</v>
      </c>
      <c r="B131" s="10"/>
      <c r="C131" s="10"/>
      <c r="D131" s="11"/>
      <c r="E131" s="22">
        <v>0</v>
      </c>
      <c r="F131" s="22">
        <v>0</v>
      </c>
      <c r="G131" s="22">
        <v>0</v>
      </c>
      <c r="H131" s="22">
        <v>0</v>
      </c>
    </row>
    <row r="132" ht="20.25" customHeight="1" spans="1:30" x14ac:dyDescent="0.25">
      <c r="A132" s="9" t="str">
        <f>'[1]รายเก่า รายใหม่'!A125</f>
        <v>(6) การเลื่อย ตัด หรือประดิษฐ์หินเป็นสิ่งของ เครื่องใช้ หรือผลิตภัณฑ์ต่าง ๆ</v>
      </c>
      <c r="B132" s="10"/>
      <c r="C132" s="10"/>
      <c r="D132" s="11"/>
      <c r="E132" s="22">
        <v>0</v>
      </c>
      <c r="F132" s="22">
        <v>0</v>
      </c>
      <c r="G132" s="22">
        <v>0</v>
      </c>
      <c r="H132" s="22">
        <v>0</v>
      </c>
    </row>
    <row r="133" ht="20.25" customHeight="1" spans="1:30" x14ac:dyDescent="0.25">
      <c r="A133" s="9" t="str">
        <f>'[1]รายเก่า รายใหม่'!A126</f>
        <v>(7) การผลิตชอล์ก ปูนปลาสเตอร์ ปูนขาว ดินสอพอง หรือเผาหินปูน</v>
      </c>
      <c r="B133" s="10"/>
      <c r="C133" s="10"/>
      <c r="D133" s="11"/>
      <c r="E133" s="22">
        <v>0</v>
      </c>
      <c r="F133" s="22">
        <v>0</v>
      </c>
      <c r="G133" s="22">
        <v>0</v>
      </c>
      <c r="H133" s="22">
        <v>0</v>
      </c>
    </row>
    <row r="134" ht="20.25" customHeight="1" spans="1:30" x14ac:dyDescent="0.25">
      <c r="A134" s="9" t="str">
        <f>'[1]รายเก่า รายใหม่'!A127</f>
        <v>(8) การผลิตผลิตภัณฑ์ต่าง ๆ ที่มีแร่ใยหินเป็นส่วนประกอบหรือส่วนผสม</v>
      </c>
      <c r="B134" s="10"/>
      <c r="C134" s="10"/>
      <c r="D134" s="11"/>
      <c r="E134" s="22">
        <v>0</v>
      </c>
      <c r="F134" s="22">
        <v>0</v>
      </c>
      <c r="G134" s="22">
        <v>0</v>
      </c>
      <c r="H134" s="22">
        <v>0</v>
      </c>
    </row>
    <row r="135" ht="20.25" customHeight="1" spans="1:30" x14ac:dyDescent="0.25">
      <c r="A135" s="9" t="str">
        <f>'[1]รายเก่า รายใหม่'!A128</f>
        <v>(9) การผลิต ตัด บดกระจกหรือผลิตภัณฑ์แก้ว</v>
      </c>
      <c r="B135" s="10"/>
      <c r="C135" s="10"/>
      <c r="D135" s="11"/>
      <c r="E135" s="22">
        <v>0</v>
      </c>
      <c r="F135" s="22">
        <v>0</v>
      </c>
      <c r="G135" s="22">
        <v>0</v>
      </c>
      <c r="H135" s="22">
        <v>0</v>
      </c>
    </row>
    <row r="136" ht="20.25" customHeight="1" spans="1:30" x14ac:dyDescent="0.25">
      <c r="A136" s="9" t="str">
        <f>'[1]รายเก่า รายใหม่'!A129</f>
        <v>(10) การผลิตกระดาษทราย หรือผ้าทราย</v>
      </c>
      <c r="B136" s="10"/>
      <c r="C136" s="10"/>
      <c r="D136" s="11"/>
      <c r="E136" s="22">
        <v>0</v>
      </c>
      <c r="F136" s="22">
        <v>0</v>
      </c>
      <c r="G136" s="22">
        <v>0</v>
      </c>
      <c r="H136" s="22">
        <v>0</v>
      </c>
    </row>
    <row r="137" ht="20.25" customHeight="1" spans="1:30" x14ac:dyDescent="0.25">
      <c r="A137" s="9" t="str">
        <f>'[1]รายเก่า รายใหม่'!A130</f>
        <v>(11) การผลิตใยแก้ว หรือผลิตภัณฑ์จากใยแก้ว</v>
      </c>
      <c r="B137" s="10"/>
      <c r="C137" s="10"/>
      <c r="D137" s="11"/>
      <c r="E137" s="22">
        <v>0</v>
      </c>
      <c r="F137" s="22">
        <v>0</v>
      </c>
      <c r="G137" s="22">
        <v>0</v>
      </c>
      <c r="H137" s="22">
        <v>0</v>
      </c>
    </row>
    <row r="138" ht="42.75" customHeight="1" spans="1:30" x14ac:dyDescent="0.25">
      <c r="A138" s="26" t="str">
        <f>'[1]รายเก่า รายใหม่'!A131</f>
        <v>(12) การล้าง การขัดด้วยการพ่นทรายลงบนพื้นผิวกระจก แก้ว หิน หรือวัตถุอื่นใด ยกเว้นกิจการที่ได้รับใบอนุญาตใน 6 (5)</v>
      </c>
      <c r="B138" s="27"/>
      <c r="C138" s="27"/>
      <c r="D138" s="28"/>
      <c r="E138" s="8">
        <v>0</v>
      </c>
      <c r="F138" s="8">
        <v>0</v>
      </c>
      <c r="G138" s="8">
        <v>0</v>
      </c>
      <c r="H138" s="8">
        <v>0</v>
      </c>
      <c r="I138" s="17"/>
      <c r="J138" s="17"/>
    </row>
    <row r="139" ht="30.75" customHeight="1" spans="1:30" x14ac:dyDescent="0.25">
      <c r="A139" s="23" t="str">
        <f>'[1]รายเก่า รายใหม่'!A132</f>
        <v>12.กิจการที่เกี่ยวกับปิโตรเลียม ปิโตรเคมี ถ่านหิน ถ่านโค้ก และสารเคมีต่าง ๆ</v>
      </c>
      <c r="B139" s="24"/>
      <c r="C139" s="24"/>
      <c r="D139" s="24"/>
      <c r="E139" s="24"/>
      <c r="F139" s="24"/>
      <c r="G139" s="24"/>
      <c r="H139" s="25"/>
    </row>
    <row r="140" ht="41.25" customHeight="1" spans="1:30" x14ac:dyDescent="0.25">
      <c r="A140" s="26" t="str">
        <f>'[1]รายเก่า รายใหม่'!A133</f>
        <v>(1) การผลิต สะสม บรรจุ หรือขนส่งกรด ด่าง สารออกซิไดซ์ หรือสารตัวทำละลาย</v>
      </c>
      <c r="B140" s="27"/>
      <c r="C140" s="27"/>
      <c r="D140" s="28"/>
      <c r="E140" s="8">
        <v>2</v>
      </c>
      <c r="F140" s="8">
        <v>0</v>
      </c>
      <c r="G140" s="8">
        <v>2</v>
      </c>
      <c r="H140" s="8">
        <v>1</v>
      </c>
    </row>
    <row r="141" ht="20.25" customHeight="1" spans="1:30" x14ac:dyDescent="0.25">
      <c r="A141" s="9" t="str">
        <f>'[1]รายเก่า รายใหม่'!A134</f>
        <v>(2) การผลิต สะสม บรรจุ หรือขนส่งก๊าซ</v>
      </c>
      <c r="B141" s="10"/>
      <c r="C141" s="10"/>
      <c r="D141" s="11"/>
      <c r="E141" s="8">
        <v>19</v>
      </c>
      <c r="F141" s="8">
        <v>0</v>
      </c>
      <c r="G141" s="8">
        <v>19</v>
      </c>
      <c r="H141" s="8">
        <v>1</v>
      </c>
    </row>
    <row r="142" ht="20.25" customHeight="1" spans="1:30" x14ac:dyDescent="0.25">
      <c r="A142" s="9" t="str">
        <f>'[1]รายเก่า รายใหม่'!A135</f>
        <v>(3) การผลิต สะสม กลั่น หรือขนส่งปิโตรเลียมหรือผลิตภัณฑ์ปิโตรเลียม</v>
      </c>
      <c r="B142" s="10"/>
      <c r="C142" s="10"/>
      <c r="D142" s="11"/>
      <c r="E142" s="8">
        <v>16</v>
      </c>
      <c r="F142" s="8">
        <v>0</v>
      </c>
      <c r="G142" s="8">
        <v>14</v>
      </c>
      <c r="H142" s="8">
        <v>0</v>
      </c>
    </row>
    <row r="143" ht="20.25" customHeight="1" spans="1:30" x14ac:dyDescent="0.25">
      <c r="A143" s="9" t="str">
        <f>'[1]รายเก่า รายใหม่'!A136</f>
        <v>(4) การผลิต สะสม หรือขนส่งถ่านหิน หรือถ่านโค้ก</v>
      </c>
      <c r="B143" s="10"/>
      <c r="C143" s="10"/>
      <c r="D143" s="11"/>
      <c r="E143" s="8">
        <v>0</v>
      </c>
      <c r="F143" s="8">
        <v>0</v>
      </c>
      <c r="G143" s="8">
        <v>0</v>
      </c>
      <c r="H143" s="8">
        <v>0</v>
      </c>
    </row>
    <row r="144" ht="20.25" customHeight="1" spans="1:30" x14ac:dyDescent="0.25">
      <c r="A144" s="9" t="str">
        <f>'[1]รายเก่า รายใหม่'!A137</f>
        <v>(5) การพ่นสี ยกเว้นกิจการที่ได้รับใบอนุญาตใน 7 (1)</v>
      </c>
      <c r="B144" s="10"/>
      <c r="C144" s="10"/>
      <c r="D144" s="11"/>
      <c r="E144" s="8">
        <v>0</v>
      </c>
      <c r="F144" s="8">
        <v>0</v>
      </c>
      <c r="G144" s="8">
        <v>0</v>
      </c>
      <c r="H144" s="33">
        <v>0</v>
      </c>
      <c r="I144" s="32"/>
      <c r="J144" s="32"/>
      <c r="L144" s="34"/>
    </row>
    <row r="145" ht="20.25" customHeight="1" spans="1:30" x14ac:dyDescent="0.25">
      <c r="A145" s="3" t="s">
        <v>1</v>
      </c>
      <c r="B145" s="3"/>
      <c r="C145" s="3"/>
      <c r="D145" s="3"/>
      <c r="E145" s="3" t="s">
        <v>2</v>
      </c>
      <c r="F145" s="3"/>
      <c r="G145" s="3"/>
      <c r="H145" s="3"/>
    </row>
    <row r="146" ht="20.25" customHeight="1" spans="1:30" x14ac:dyDescent="0.25">
      <c r="A146" s="3"/>
      <c r="B146" s="3"/>
      <c r="C146" s="3"/>
      <c r="D146" s="3"/>
      <c r="E146" s="3" t="s">
        <v>3</v>
      </c>
      <c r="F146" s="3" t="s">
        <v>4</v>
      </c>
      <c r="G146" s="3" t="s">
        <v>5</v>
      </c>
      <c r="H146" s="3" t="s">
        <v>6</v>
      </c>
    </row>
    <row r="147" ht="40.5" customHeight="1" spans="1:30" x14ac:dyDescent="0.25">
      <c r="A147" s="26" t="str">
        <f>'[1]รายเก่า รายใหม่'!A138</f>
        <v>(6) การผลิตสิ่งของเครื่องใช้หรือผลิตภัณฑ์ด้วยยางเทียม พลาสติก เซลลูลอยด์ เบเกอร์ไลท์ หรือวัตถุที่คล้ายคลึง</v>
      </c>
      <c r="B147" s="27"/>
      <c r="C147" s="27"/>
      <c r="D147" s="28"/>
      <c r="E147" s="8">
        <v>0</v>
      </c>
      <c r="F147" s="8">
        <v>0</v>
      </c>
      <c r="G147" s="8">
        <v>0</v>
      </c>
      <c r="H147" s="8">
        <v>0</v>
      </c>
    </row>
    <row r="148" ht="20.25" customHeight="1" spans="1:30" x14ac:dyDescent="0.25">
      <c r="A148" s="9" t="str">
        <f>'[1]รายเก่า รายใหม่'!A139</f>
        <v>(7) การโม่ สะสม หรือบดชัน</v>
      </c>
      <c r="B148" s="10"/>
      <c r="C148" s="10"/>
      <c r="D148" s="11"/>
      <c r="E148" s="8">
        <v>3</v>
      </c>
      <c r="F148" s="8">
        <v>0</v>
      </c>
      <c r="G148" s="8">
        <v>2</v>
      </c>
      <c r="H148" s="8">
        <v>0</v>
      </c>
      <c r="M148" s="35"/>
    </row>
    <row r="149" ht="20.25" customHeight="1" spans="1:30" x14ac:dyDescent="0.25">
      <c r="A149" s="9" t="str">
        <f>'[1]รายเก่า รายใหม่'!A140</f>
        <v>(8) การผลิตสีหรือน้ำมนผสมสี</v>
      </c>
      <c r="B149" s="10"/>
      <c r="C149" s="10"/>
      <c r="D149" s="11"/>
      <c r="E149" s="8">
        <v>0</v>
      </c>
      <c r="F149" s="8">
        <v>0</v>
      </c>
      <c r="G149" s="8">
        <v>0</v>
      </c>
      <c r="H149" s="8">
        <v>0</v>
      </c>
    </row>
    <row r="150" ht="20.25" customHeight="1" spans="1:30" x14ac:dyDescent="0.25">
      <c r="A150" s="9" t="str">
        <f>'[1]รายเก่า รายใหม่'!A141</f>
        <v>(9) การผลิต ล้างฟิล์มรูปถ่ายหรือฟิล์มภาพยนตร์</v>
      </c>
      <c r="B150" s="10"/>
      <c r="C150" s="10"/>
      <c r="D150" s="11"/>
      <c r="E150" s="8">
        <v>1</v>
      </c>
      <c r="F150" s="8">
        <v>0</v>
      </c>
      <c r="G150" s="8">
        <v>1</v>
      </c>
      <c r="H150" s="8">
        <v>0</v>
      </c>
    </row>
    <row r="151" ht="40.5" customHeight="1" spans="1:30" x14ac:dyDescent="0.25">
      <c r="A151" s="26" t="str">
        <f>'[1]รายเก่า รายใหม่'!A142</f>
        <v>(10) การเคลือบ ชุบวัตถุด้วยพลาสติก เซลลูลอยด์ เบเกอร์ไลท์ หรือวัตถุที่คล้ายคลึง</v>
      </c>
      <c r="B151" s="27"/>
      <c r="C151" s="27"/>
      <c r="D151" s="28"/>
      <c r="E151" s="8">
        <v>0</v>
      </c>
      <c r="F151" s="8">
        <v>0</v>
      </c>
      <c r="G151" s="8">
        <v>0</v>
      </c>
      <c r="H151" s="8">
        <v>0</v>
      </c>
    </row>
    <row r="152" ht="20.25" customHeight="1" spans="1:30" x14ac:dyDescent="0.25">
      <c r="A152" s="9" t="str">
        <f>'[1]รายเก่า รายใหม่'!A143</f>
        <v>(11) การผลิตพลาสติก เซลลูลอยด์ เบเกอร์ไลท์ หรือวัตถุที่คล้ายคลึง</v>
      </c>
      <c r="B152" s="10"/>
      <c r="C152" s="10"/>
      <c r="D152" s="11"/>
      <c r="E152" s="8">
        <v>0</v>
      </c>
      <c r="F152" s="8">
        <v>0</v>
      </c>
      <c r="G152" s="8">
        <v>0</v>
      </c>
      <c r="H152" s="8">
        <v>0</v>
      </c>
    </row>
    <row r="153" ht="20.25" customHeight="1" spans="1:30" x14ac:dyDescent="0.25">
      <c r="A153" s="9" t="str">
        <f>'[1]รายเก่า รายใหม่'!A144</f>
        <v>(12) การผลิต หรือบรรจุสารเคมีดับเพลิง</v>
      </c>
      <c r="B153" s="10"/>
      <c r="C153" s="10"/>
      <c r="D153" s="11"/>
      <c r="E153" s="8">
        <v>0</v>
      </c>
      <c r="F153" s="8">
        <v>0</v>
      </c>
      <c r="G153" s="8">
        <v>0</v>
      </c>
      <c r="H153" s="8">
        <v>0</v>
      </c>
    </row>
    <row r="154" ht="20.25" customHeight="1" spans="1:30" x14ac:dyDescent="0.25">
      <c r="A154" s="9" t="str">
        <f>'[1]รายเก่า รายใหม่'!A145</f>
        <v>(13) การผลิตน้ำแข็งแห้ง</v>
      </c>
      <c r="B154" s="10"/>
      <c r="C154" s="10"/>
      <c r="D154" s="11"/>
      <c r="E154" s="8">
        <v>0</v>
      </c>
      <c r="F154" s="8">
        <v>0</v>
      </c>
      <c r="G154" s="8">
        <v>0</v>
      </c>
      <c r="H154" s="8">
        <v>0</v>
      </c>
    </row>
    <row r="155" ht="41.25" customHeight="1" spans="1:30" x14ac:dyDescent="0.25">
      <c r="A155" s="26" t="str">
        <f>'[1]รายเก่า รายใหม่'!A146</f>
        <v>(14) การผลิต สะสม ขนส่งดอกไม้เพลิง หรือสารเคมีอันเป็นส่วนประกอบในการผลิตดอกไม้เพลิง</v>
      </c>
      <c r="B155" s="27"/>
      <c r="C155" s="27"/>
      <c r="D155" s="28"/>
      <c r="E155" s="8">
        <v>0</v>
      </c>
      <c r="F155" s="8">
        <v>0</v>
      </c>
      <c r="G155" s="8">
        <v>0</v>
      </c>
      <c r="H155" s="8">
        <v>0</v>
      </c>
    </row>
    <row r="156" ht="20.25" customHeight="1" spans="1:30" x14ac:dyDescent="0.25">
      <c r="A156" s="9" t="str">
        <f>'[1]รายเก่า รายใหม่'!A147</f>
        <v>(15) การผลิตเชลแล็ก หรือสารเคลือบเงา</v>
      </c>
      <c r="B156" s="10"/>
      <c r="C156" s="10"/>
      <c r="D156" s="11"/>
      <c r="E156" s="8">
        <v>0</v>
      </c>
      <c r="F156" s="8">
        <v>0</v>
      </c>
      <c r="G156" s="8">
        <v>0</v>
      </c>
      <c r="H156" s="8">
        <v>0</v>
      </c>
    </row>
    <row r="157" ht="20.25" customHeight="1" spans="1:30" x14ac:dyDescent="0.25">
      <c r="A157" s="9" t="str">
        <f>'[1]รายเก่า รายใหม่'!A148</f>
        <v>(16) การผลิต สะสม บรรจุ ขนส่งสารกำจัดศัตรูพืชหรือพาหะนำโรค</v>
      </c>
      <c r="B157" s="10"/>
      <c r="C157" s="10"/>
      <c r="D157" s="11"/>
      <c r="E157" s="8">
        <v>19</v>
      </c>
      <c r="F157" s="8">
        <v>0</v>
      </c>
      <c r="G157" s="8">
        <v>15</v>
      </c>
      <c r="H157" s="8">
        <v>1</v>
      </c>
    </row>
    <row r="158" ht="20.25" customHeight="1" spans="1:30" x14ac:dyDescent="0.25">
      <c r="A158" s="9" t="str">
        <f>'[1]รายเก่า รายใหม่'!A149</f>
        <v>(17) การผลิต สะสม หรือบรรจุกาว</v>
      </c>
      <c r="B158" s="10"/>
      <c r="C158" s="10"/>
      <c r="D158" s="11"/>
      <c r="E158" s="22">
        <v>2</v>
      </c>
      <c r="F158" s="22">
        <v>0</v>
      </c>
      <c r="G158" s="22">
        <v>2</v>
      </c>
      <c r="H158" s="22">
        <v>0</v>
      </c>
      <c r="I158" s="36"/>
      <c r="J158" s="36"/>
      <c r="L158" s="37"/>
    </row>
    <row r="159" ht="27.75" customHeight="1" spans="1:30" x14ac:dyDescent="0.25">
      <c r="A159" s="23" t="str">
        <f>'[1]รายเก่า รายใหม่'!A150</f>
        <v>13.กิจการอื่น ๆ</v>
      </c>
      <c r="B159" s="24"/>
      <c r="C159" s="24"/>
      <c r="D159" s="24"/>
      <c r="E159" s="24"/>
      <c r="F159" s="24"/>
      <c r="G159" s="24"/>
      <c r="H159" s="25"/>
    </row>
    <row r="160" ht="20.25" customHeight="1" spans="1:30" x14ac:dyDescent="0.25">
      <c r="A160" s="9" t="str">
        <f>'[1]รายเก่า รายใหม่'!A151</f>
        <v>(1) การพิมพ์หนังสือหรือสิ่งพิมพ์อื่นที่มีลักษณะเดียวกันด้วยเครื่องจักร</v>
      </c>
      <c r="B160" s="10"/>
      <c r="C160" s="10"/>
      <c r="D160" s="11"/>
      <c r="E160" s="8">
        <v>5</v>
      </c>
      <c r="F160" s="8">
        <v>0</v>
      </c>
      <c r="G160" s="8">
        <v>5</v>
      </c>
      <c r="H160" s="8">
        <v>1</v>
      </c>
    </row>
    <row r="161" ht="45.75" customHeight="1" spans="1:30" x14ac:dyDescent="0.25">
      <c r="A161" s="26" t="str">
        <f>'[1]รายเก่า รายใหม่'!A152</f>
        <v>(2) การผลิต ซ่อมเครื่องอิเล็กทรอนิกส์ เครื่องไฟฟ้า อุปกรณ์อิเล็กทรอนิกส์หรืออุปกรณ์ไฟฟ้า</v>
      </c>
      <c r="B161" s="27"/>
      <c r="C161" s="27"/>
      <c r="D161" s="28"/>
      <c r="E161" s="8">
        <v>3</v>
      </c>
      <c r="F161" s="8">
        <v>0</v>
      </c>
      <c r="G161" s="8">
        <v>2</v>
      </c>
      <c r="H161" s="8">
        <v>1</v>
      </c>
    </row>
    <row r="162" ht="24.75" customHeight="1" spans="1:30" x14ac:dyDescent="0.25">
      <c r="A162" s="9" t="str">
        <f>'[1]รายเก่า รายใหม่'!A153</f>
        <v>(3) การผลิตเทียน หรือเทียนไข หรือวัตถุที่คล้ายคลึง</v>
      </c>
      <c r="B162" s="10"/>
      <c r="C162" s="10"/>
      <c r="D162" s="11"/>
      <c r="E162" s="8">
        <v>0</v>
      </c>
      <c r="F162" s="8">
        <v>0</v>
      </c>
      <c r="G162" s="8">
        <v>0</v>
      </c>
      <c r="H162" s="8">
        <v>0</v>
      </c>
    </row>
    <row r="163" ht="24" customHeight="1" spans="1:30" x14ac:dyDescent="0.25">
      <c r="A163" s="9" t="str">
        <f>'[1]รายเก่า รายใหม่'!A154</f>
        <v>(4) การพิมพ์แบบ พิมพ์เขียว หรือถ่ายเอกสาร</v>
      </c>
      <c r="B163" s="10"/>
      <c r="C163" s="10"/>
      <c r="D163" s="11"/>
      <c r="E163" s="8">
        <v>4</v>
      </c>
      <c r="F163" s="8">
        <v>0</v>
      </c>
      <c r="G163" s="8">
        <v>4</v>
      </c>
      <c r="H163" s="8">
        <v>0</v>
      </c>
    </row>
    <row r="164" ht="24" customHeight="1" spans="1:30" x14ac:dyDescent="0.25">
      <c r="A164" s="9" t="str">
        <f>'[1]รายเก่า รายใหม่'!A155</f>
        <v>(5) การสะสมวัตถุหรือสิ่งของที่ชำรุด ใช้แล้วหรือเหลือใช้</v>
      </c>
      <c r="B164" s="10"/>
      <c r="C164" s="10"/>
      <c r="D164" s="11"/>
      <c r="E164" s="8">
        <v>8</v>
      </c>
      <c r="F164" s="8">
        <v>0</v>
      </c>
      <c r="G164" s="8">
        <v>7</v>
      </c>
      <c r="H164" s="8">
        <v>1</v>
      </c>
    </row>
    <row r="165" ht="29.25" customHeight="1" spans="1:30" x14ac:dyDescent="0.25">
      <c r="A165" s="9" t="str">
        <f>'[1]รายเก่า รายใหม่'!A156</f>
        <v>(6) การประกอบกิจการโกดังสินค้า</v>
      </c>
      <c r="B165" s="10"/>
      <c r="C165" s="10"/>
      <c r="D165" s="11"/>
      <c r="E165" s="8">
        <v>1</v>
      </c>
      <c r="F165" s="8">
        <v>1</v>
      </c>
      <c r="G165" s="8">
        <v>0</v>
      </c>
      <c r="H165" s="8">
        <v>0</v>
      </c>
    </row>
    <row r="166" ht="39" customHeight="1" spans="1:30" x14ac:dyDescent="0.25">
      <c r="A166" s="26" t="str">
        <f>'[1]รายเก่า รายใหม่'!A157</f>
        <v>(7) การล้างขวด ภาชนะหรือบรรจุภัณฑ์ที่ใช้แล้วเพื่อนำไปใช้ใหม่หรือแปรสภาพเป็นผลิตภัณฑ์ใหม่</v>
      </c>
      <c r="B166" s="27"/>
      <c r="C166" s="27"/>
      <c r="D166" s="28"/>
      <c r="E166" s="8">
        <v>1</v>
      </c>
      <c r="F166" s="8">
        <v>0</v>
      </c>
      <c r="G166" s="8">
        <v>0</v>
      </c>
      <c r="H166" s="8">
        <v>1</v>
      </c>
    </row>
    <row r="167" ht="22.5" customHeight="1" spans="1:30" x14ac:dyDescent="0.25">
      <c r="A167" s="9" t="str">
        <f>'[1]รายเก่า รายใหม่'!A158</f>
        <v>(8) การพิมพ์ เขียน พ่นสี หรือวิธีอื่นใดลงบนวัตถุที่มิใช่สิ่งทอ</v>
      </c>
      <c r="B167" s="10"/>
      <c r="C167" s="10"/>
      <c r="D167" s="11"/>
      <c r="E167" s="8">
        <v>0</v>
      </c>
      <c r="F167" s="8">
        <v>0</v>
      </c>
      <c r="G167" s="8">
        <v>0</v>
      </c>
      <c r="H167" s="8">
        <v>0</v>
      </c>
    </row>
    <row r="168" ht="23.25" customHeight="1" spans="1:30" x14ac:dyDescent="0.25">
      <c r="A168" s="9" t="str">
        <f>'[1]รายเก่า รายใหม่'!A159</f>
        <v>(9) การประกอบกิจการท่าเทียบเรือประมง สะพานปลา หรือแพปลา</v>
      </c>
      <c r="B168" s="10"/>
      <c r="C168" s="10"/>
      <c r="D168" s="11"/>
      <c r="E168" s="8">
        <v>0</v>
      </c>
      <c r="F168" s="8">
        <v>0</v>
      </c>
      <c r="G168" s="8">
        <v>0</v>
      </c>
      <c r="H168" s="8">
        <v>0</v>
      </c>
    </row>
    <row r="169" ht="27.75" customHeight="1" spans="1:30" x14ac:dyDescent="0.25">
      <c r="A169" s="9" t="str">
        <f>'[1]รายเก่า รายใหม่'!A160</f>
        <v>(10) การบรรจุหีบห่อสินค้าโดยใช้เครื่องจักร</v>
      </c>
      <c r="B169" s="10"/>
      <c r="C169" s="10"/>
      <c r="D169" s="11"/>
      <c r="E169" s="8">
        <v>0</v>
      </c>
      <c r="F169" s="8">
        <v>0</v>
      </c>
      <c r="G169" s="8">
        <v>0</v>
      </c>
      <c r="H169" s="8">
        <v>0</v>
      </c>
    </row>
    <row r="170" ht="24.75" customHeight="1" spans="1:30" x14ac:dyDescent="0.25">
      <c r="A170" s="9" t="str">
        <f>'[1]รายเก่า รายใหม่'!A161</f>
        <v>(11) การให้บริการควบคุมป้องกันและกำจัดแมลง หรือสัตว์พาหะนำโรค</v>
      </c>
      <c r="B170" s="10"/>
      <c r="C170" s="10"/>
      <c r="D170" s="11"/>
      <c r="E170" s="8">
        <v>2</v>
      </c>
      <c r="F170" s="8">
        <v>0</v>
      </c>
      <c r="G170" s="8">
        <v>1</v>
      </c>
      <c r="H170" s="8">
        <v>0</v>
      </c>
    </row>
    <row r="171" ht="24" customHeight="1" spans="1:30" x14ac:dyDescent="0.25">
      <c r="A171" s="9" t="str">
        <f>'[1]รายเก่า รายใหม่'!A162</f>
        <v>(12) การผลิตสิ่งของ เครื่องใช้ หรือผลิตภัณฑ์จากยาง</v>
      </c>
      <c r="B171" s="10"/>
      <c r="C171" s="10"/>
      <c r="D171" s="11"/>
      <c r="E171" s="8">
        <v>0</v>
      </c>
      <c r="F171" s="8">
        <v>0</v>
      </c>
      <c r="G171" s="8">
        <v>0</v>
      </c>
      <c r="H171" s="8">
        <v>0</v>
      </c>
    </row>
    <row r="172" ht="24" customHeight="1" spans="1:30" x14ac:dyDescent="0.25">
      <c r="A172" s="9" t="str">
        <f>'[1]รายเก่า รายใหม่'!A163</f>
        <v>(13) การผลิต สะสม หรือขนส่งไบโอดีเซลและเอทานอล</v>
      </c>
      <c r="B172" s="10"/>
      <c r="C172" s="10"/>
      <c r="D172" s="11"/>
      <c r="E172" s="8">
        <v>0</v>
      </c>
      <c r="F172" s="8">
        <v>0</v>
      </c>
      <c r="G172" s="8">
        <v>0</v>
      </c>
      <c r="H172" s="8">
        <v>0</v>
      </c>
      <c r="I172" s="38"/>
      <c r="J172" s="38"/>
      <c r="K172" s="38"/>
      <c r="L172" s="38"/>
    </row>
    <row r="173" ht="30.75" customHeight="1" spans="1:30" x14ac:dyDescent="0.25">
      <c r="A173" s="39" t="str">
        <f>'[1]รายเก่า รายใหม่'!A164</f>
        <v>รวม</v>
      </c>
      <c r="B173" s="40"/>
      <c r="C173" s="40"/>
      <c r="D173" s="41"/>
      <c r="E173" s="42">
        <f>SUM(J172+J158+J144+J138+J125+J112+J92+J81+J71+J64+J52+J46+J19)</f>
        <v>303</v>
      </c>
      <c r="F173" s="42">
        <f>SUM(K172+K125+K112+1)</f>
        <v>9</v>
      </c>
      <c r="G173" s="42">
        <f>SUM(I172+I158+I144+I138+I125+I112+I81+I71+I64+I52+I46+I19+I92)</f>
        <v>272</v>
      </c>
      <c r="H173" s="42">
        <f>SUM(L172+L158+L144+L125+L112+L81+K46)</f>
        <v>38</v>
      </c>
    </row>
  </sheetData>
  <mergeCells count="172">
    <mergeCell ref="A1:H1"/>
    <mergeCell ref="A3:D4"/>
    <mergeCell ref="E3:H3"/>
    <mergeCell ref="A5:H5"/>
    <mergeCell ref="A6:D6"/>
    <mergeCell ref="A7:D7"/>
    <mergeCell ref="A8:D8"/>
    <mergeCell ref="A9:D9"/>
    <mergeCell ref="A10:D10"/>
    <mergeCell ref="A11:D11"/>
    <mergeCell ref="A12:H12"/>
    <mergeCell ref="A13:D13"/>
    <mergeCell ref="A14:D14"/>
    <mergeCell ref="A15:D15"/>
    <mergeCell ref="A16:D16"/>
    <mergeCell ref="A17:D17"/>
    <mergeCell ref="A18:D18"/>
    <mergeCell ref="A19:D19"/>
    <mergeCell ref="A20:H20"/>
    <mergeCell ref="A21:D21"/>
    <mergeCell ref="A22:D22"/>
    <mergeCell ref="A23:D23"/>
    <mergeCell ref="A24:D24"/>
    <mergeCell ref="A25:D25"/>
    <mergeCell ref="A26:D26"/>
    <mergeCell ref="A27:D28"/>
    <mergeCell ref="E27:H27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H47"/>
    <mergeCell ref="A48:D48"/>
    <mergeCell ref="A49:D49"/>
    <mergeCell ref="A50:D50"/>
    <mergeCell ref="A51:D51"/>
    <mergeCell ref="A52:D52"/>
    <mergeCell ref="A53:H53"/>
    <mergeCell ref="A54:D54"/>
    <mergeCell ref="A55:D55"/>
    <mergeCell ref="A56:D56"/>
    <mergeCell ref="A57:D58"/>
    <mergeCell ref="E57:H57"/>
    <mergeCell ref="A59:D59"/>
    <mergeCell ref="A60:D60"/>
    <mergeCell ref="A61:D61"/>
    <mergeCell ref="A62:D62"/>
    <mergeCell ref="A63:D63"/>
    <mergeCell ref="A64:D64"/>
    <mergeCell ref="A65:H65"/>
    <mergeCell ref="A66:D66"/>
    <mergeCell ref="A67:D67"/>
    <mergeCell ref="A68:D68"/>
    <mergeCell ref="A69:D69"/>
    <mergeCell ref="A70:D70"/>
    <mergeCell ref="A71:D71"/>
    <mergeCell ref="A72:H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H82"/>
    <mergeCell ref="A83:D83"/>
    <mergeCell ref="A84:D84"/>
    <mergeCell ref="A85:D85"/>
    <mergeCell ref="A86:D86"/>
    <mergeCell ref="A87:D87"/>
    <mergeCell ref="A88:D88"/>
    <mergeCell ref="A89:D90"/>
    <mergeCell ref="E89:H89"/>
    <mergeCell ref="A91:D91"/>
    <mergeCell ref="A92:D92"/>
    <mergeCell ref="A93:H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4"/>
    <mergeCell ref="E113:H113"/>
    <mergeCell ref="A115:D115"/>
    <mergeCell ref="A116:D116"/>
    <mergeCell ref="A117:H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H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H139"/>
    <mergeCell ref="A140:D140"/>
    <mergeCell ref="A141:D141"/>
    <mergeCell ref="A142:D142"/>
    <mergeCell ref="A143:D143"/>
    <mergeCell ref="A144:D144"/>
    <mergeCell ref="A145:D146"/>
    <mergeCell ref="E145:H145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H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</mergeCells>
  <pageMargins left="0.2362204724409449" right="0.2362204724409449" top="0.3937007874015748" bottom="0.3937007874015748" header="0.31496062992125984" footer="0.31496062992125984"/>
  <pageSetup paperSize="9" orientation="portrait" horizontalDpi="4294967295" verticalDpi="4294967293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 v9ta.03</dc:creator>
  <cp:lastModifiedBy>wc v9ta.03</cp:lastModifiedBy>
  <cp:lastPrinted>2026-10-06T04:13:58Z</cp:lastPrinted>
  <dcterms:created xsi:type="dcterms:W3CDTF">2026-09-28T02:54:54Z</dcterms:created>
  <dcterms:modified xsi:type="dcterms:W3CDTF">2026-10-06T06:24:51Z</dcterms:modified>
</cp:coreProperties>
</file>